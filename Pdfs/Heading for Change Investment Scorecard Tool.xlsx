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Scorecard" sheetId="2" r:id="rId5"/>
    <sheet state="visible" name="Scoring Summary" sheetId="3" r:id="rId6"/>
    <sheet state="visible" name="Scorecard Components" sheetId="4" r:id="rId7"/>
  </sheets>
  <definedNames/>
  <calcPr/>
  <extLst>
    <ext uri="GoogleSheetsCustomDataVersion2">
      <go:sheetsCustomData xmlns:go="http://customooxmlschemas.google.com/" r:id="rId8" roundtripDataChecksum="dkE/XV7Mq2h4RtV+M4NaT++un3mQ6pIGmcx9nl1fatM="/>
    </ext>
  </extLst>
</workbook>
</file>

<file path=xl/sharedStrings.xml><?xml version="1.0" encoding="utf-8"?>
<sst xmlns="http://schemas.openxmlformats.org/spreadsheetml/2006/main" count="162" uniqueCount="141">
  <si>
    <t>Heading for Change Scorecard Tool</t>
  </si>
  <si>
    <t>Note: Last updated October 2025</t>
  </si>
  <si>
    <r>
      <rPr>
        <rFont val="Barlow"/>
        <color theme="1"/>
        <sz val="10.0"/>
      </rPr>
      <t>The</t>
    </r>
    <r>
      <rPr>
        <rFont val="Barlow"/>
        <i/>
        <color theme="1"/>
        <sz val="10.0"/>
      </rPr>
      <t xml:space="preserve"> Heading for Change</t>
    </r>
    <r>
      <rPr>
        <rFont val="Barlow"/>
        <color theme="1"/>
        <sz val="10.0"/>
      </rPr>
      <t xml:space="preserve"> ("HfC") Scorecard is used as an important Screening and Due Diligence tool to evaluate funds against the key metrics underpinning the HfC investment thesis and investment criteria. It is used throughout the HfC investment process:
(i)  To support pipeline mapping and compare multiple funds across similar portfolio criteria or characteristics (i.e. regional or sector-based market mapping), in order to identify the opportunity that best aligns with HfC's strategy and portfolio construction objectives.
(ii) As an initial screening tool to determine whether a pipeline fund meets HfC investment criteria and is eligible for a potential investment, as well as identifying potential areas for further due diligence. 
(iii) During due diligence as a final scoring tool to confirm that the fund meets HfC investment criteria (yes/no) and identify possible areas for post-investment support.
The HfC Scorecard is intended to be a directional tool to support investment decision-making, that assesses both quantitative and qualitative metrics. It is one part of HfC's holistic investment and due diligence process (which also inludes HfC's Climate &amp; Gender Due Diligence Questionnaire, fund and financial due diligence, and investor and portfolio company reference calls) and, as such, it is not intended to be used on a stand-alone or absolute basis. The Scorecard builds on the groundwork of many gender and climate leaders in the field - for example, Sweef Capital ROI as it relates to gender and inclusion and Project Drawdown on the climate side. As such, we build our framework upon these well-established tools and approaches, enabling users to assess intentionality, execution, and areas for growth.
This tool is designed to be non-prescriptive, with the intent that users take the aspects which make the most sense for their strategy and process, and use it to enhance existing climate and/or gender analysis with the dimensions of the HfC scorecard that suit their purpose. It has many potential use cases that could enhance investment processes, including screening, due diligence, investment committees and/or portfolio performance monitoring. Users are invited to question, explore, and apply what resonates with their own theory of change, investment thesis, or strategic priorities.
We encourage users to approach the Scorecard with an open, curious, and learning mindset, especially in recognition of the nascent and evolving nature of climate and gender investing. As the field grows and new insights and data become available, we anticipate that the Scorecard will continue to iterate and adapt. In addition, the Scorecard should always be used in context. It is essential to consider regional differences, local nuances, and broader societal structures and biases that may shape how climate and gender dynamics show up in different geographies or sectors. While our aim has been to make the tool as clear, tangible, and objective as possible, there will inevitably be a degree of subjectivity in assessing impact-oriented funds.
Finally, while the Scorecard includes criteria related to Impact Measurement &amp; Management (IMM) — specifically regarding the degree to which a fund creates, measures, reports and acts upon on climate and/or gender impact — please note, that for our process, it is not used as part of a formal IMM system for monitoring portfolio performance post-investment. Its purpose is to inform pre-investment decision-making, rather than serve as a comprehensive impact tracking and management framework.                               </t>
    </r>
  </si>
  <si>
    <t>Using the Criteria &amp; Scorecard:</t>
  </si>
  <si>
    <t>The "Scorecard" tab contains an overview and explanation of each of the HfC criteria across 5 categories:</t>
  </si>
  <si>
    <t>1) Climate/Nature &amp; Biodiversity
2) Breadth &amp; Depth of Gender
3) Climate &amp; Gender Integration
4) Organization &amp; Team
5) Fundraising, Fund Terms, Structure &amp; Risk</t>
  </si>
  <si>
    <r>
      <rPr>
        <rFont val="Barlow"/>
        <b/>
        <i/>
        <color rgb="FF15668C"/>
        <u/>
      </rPr>
      <t>Scoring</t>
    </r>
    <r>
      <rPr>
        <rFont val="Barlow"/>
        <b/>
        <i/>
        <color rgb="FF15668C"/>
      </rPr>
      <t xml:space="preserve">: </t>
    </r>
    <r>
      <rPr>
        <rFont val="Barlow"/>
        <i/>
        <color theme="1"/>
      </rPr>
      <t xml:space="preserve">
</t>
    </r>
    <r>
      <rPr>
        <rFont val="Barlow"/>
        <color theme="1"/>
      </rPr>
      <t xml:space="preserve">The first five categories are scored on a scale of 1 to 5. The minimum score to be eligible for an HfC investment is a 3. 
</t>
    </r>
    <r>
      <rPr>
        <rFont val="Barlow"/>
        <b/>
        <i/>
        <color rgb="FF15668C"/>
        <u/>
      </rPr>
      <t>Scoring Guidelines</t>
    </r>
    <r>
      <rPr>
        <rFont val="Barlow"/>
        <b/>
        <i/>
        <color rgb="FF15668C"/>
      </rPr>
      <t>:</t>
    </r>
    <r>
      <rPr>
        <rFont val="Barlow"/>
        <color theme="1"/>
      </rPr>
      <t xml:space="preserve">
Scoring guidelines are provided for most criteria and reflect HfC’s priorities, emphasizing the factors most relevant to the investment thesis, as well as the specific characteristics of funds at the climate and gender nexus that we believe to be most critical for achieving strong impact and financial outcomes (for e.g. place-based teams with local representation advancing fit-for-purpose and gender-smart climate solutions). 
Individuals or organizations adopting this scorecard are encouraged to tailor the scoring framework to their own impact goals, return targets, and broader portfolio construction considerations (i.e. North American funds vs Emerging Markets funds). 
</t>
    </r>
    <r>
      <rPr>
        <rFont val="Barlow"/>
        <b/>
        <i/>
        <color rgb="FF15668C"/>
        <u/>
      </rPr>
      <t>Scorecard Weighting</t>
    </r>
    <r>
      <rPr>
        <rFont val="Barlow"/>
        <b/>
        <i/>
        <color rgb="FF15668C"/>
      </rPr>
      <t>:</t>
    </r>
    <r>
      <rPr>
        <rFont val="Barlow"/>
        <b/>
        <i/>
        <color theme="1"/>
      </rPr>
      <t xml:space="preserve">
</t>
    </r>
    <r>
      <rPr>
        <rFont val="Barlow"/>
        <color theme="1"/>
      </rPr>
      <t xml:space="preserve">In the scorecard, each score is weighted based on the priorities HfC has identified within a respective section. These weighted scores contribute to the section’s total, which is further weighted in the Scorecard Summary to produce a final overall score. As climate and gender are central to our investment thesis,  the collective weight of these dimensions is 70% and forms a major part of our due diligence and analysis. As with the scoring guidelines, users are encouraged to adjust the weights of individual sections and the summary to reflect their specific priorities, impact goals, and investment mandates. Please note that for our scoring purposes scoring begins at 1, rather than 0 therefore non-compliant funds do score 1, once weighting is complete. Weighting systems should be appropriately utilised at section and scorecard level.  
</t>
    </r>
    <r>
      <rPr>
        <rFont val="Barlow"/>
        <b/>
        <color rgb="FF15668C"/>
      </rPr>
      <t>How &amp; When to Use the Scorecard:</t>
    </r>
    <r>
      <rPr>
        <rFont val="Barlow"/>
        <color theme="1"/>
      </rPr>
      <t xml:space="preserve">
The scorecard is not intended to provide a definitive “go/no-go” decision on an investment. Instead, it serves as a tool to compare opportunities side-by-side within similar geographies or investment theses, and to provide a high-level snapshot of a fund, highlighting gaps and areas for deeper exploration during due diligence or areas for post-investment support. At HfC we do not use the tool as a baseline for impact measurement and management, but other users could leverage the baseline score and track progress over the lifecycle of the investment, if that aligns better with their processes in place. 
It is also important to contextualize the score within the broader cultural, regional, sectoral, or structural backdrop that the fund operates within. We have found that nuance is critical in this space, as is meeting the market where it is, so that we can champion the most catalytic changemakers addressing the unique set of gender and climate challenges of a particular region or sector. </t>
    </r>
  </si>
  <si>
    <t xml:space="preserve">Heading for Change Investment Scorecard </t>
  </si>
  <si>
    <t>Fund Name</t>
  </si>
  <si>
    <t>Assessment Date</t>
  </si>
  <si>
    <t>Prepared By</t>
  </si>
  <si>
    <t>I. Climate / Nature &amp; Biodiversity</t>
  </si>
  <si>
    <t>Score</t>
  </si>
  <si>
    <t>Description</t>
  </si>
  <si>
    <t xml:space="preserve">Explanation for scoring 1 - 2 </t>
  </si>
  <si>
    <t xml:space="preserve">Explanation for scoring 3 -5 </t>
  </si>
  <si>
    <t>1a</t>
  </si>
  <si>
    <t xml:space="preserve">Thesis &amp; Strategy: Climate/Nature &amp; Biodiversity </t>
  </si>
  <si>
    <t>To qualify as Climate/Nature, funds must have or target a minimum % of investments into Climate and/or Nature related themes that seek to support climate mitigation, adaptation and resilience actions. Investment themes include (but are not limited to): Industrial Decarbonization, Renewable Energy/Energy Transition, Resource Efficiency, Energy Efficiency, Green Manufacturing, Green Mobility, Circularity, Sustainable &amp; Regenerative Agriculture, Ocean Ecosystems, Biodiversity, Nature-Based Solutions, Sustainable Forestry, Climate resilient financial solutions etc.). Multi-thematic funds can be considered if the non-climate/nature deals are in high impact sectors (health, education, financial services) and apply a climate/nature lens to those investments (i.e. installing rooftop solar on a hospital or pharmacy).</t>
  </si>
  <si>
    <t xml:space="preserve">1 = The fund does not invest in climate/nature and does not intend to
2 = Less than 51% of portfolio commitments in climate/nature. The non-climate/nature deals are not in high-impact sectors and there is no intention to add a climate/nature lens to the non-climate/nature deals (i.e. the opportunistic fund with i.e. a 25% allocation to climate/sustainability) 
</t>
  </si>
  <si>
    <t>3 = More than 51% of the portfolio commitments in climate/nature, in mostly high impact sectors. The non-climate/nature deals do not have a climate lens but the fund is open and interested to incorporate one with support
4 = More than 51% of investments in climate/nature, non-climate deals are in high-impact sectors and apply a climate-lens to non-climate deals 
5 = &gt;75% of investments in climate/nature</t>
  </si>
  <si>
    <t>1b</t>
  </si>
  <si>
    <t>Thesis &amp; Strategy: Near-Term, Material Solutions; Replicable Solutions; Climate Vulnerable and/or Place-Based</t>
  </si>
  <si>
    <t xml:space="preserve">Funds are scored according to the degree their investment strategy and thesis is focused on investing in solutions, innovative business models or projects with near-term (within 10 years), material impact (quantitative &amp; qualitative) and which can be replicated and/or scaled across regions/geographies. Also considered is the degree to which a fund is investing in climate vulnerable places, people and/or regions that are especially critical to climate resiliency, i.e. investing in the blue economy of island nations vulnerable to flood risk or investing in refugees tackling climate change; and/or place based solutions that have been locally designed with community-centered, context-specific and participatory approaches. </t>
  </si>
  <si>
    <t xml:space="preserve">1 = The investment thesis &amp; strategy does not consider whether solutions are near-term, material, and/or scalable; nor in climate vulnerable people or places
2 = The investment thesis &amp; strategy has limited consideration for solutions which are near-term, material, scalable or in climate vulnerable people or places and there is limited or inconsistent underpinning in policies and processes
</t>
  </si>
  <si>
    <r>
      <rPr>
        <rFont val="Nunito"/>
        <color rgb="FF222222"/>
        <sz val="10.0"/>
      </rPr>
      <t xml:space="preserve">3 = The investment thesis &amp; strategy considers one or more of: near-term, material, scalable and/or climate vulnerable people &amp; places, has some degree of codification in their strategy &amp; processes and is open to receive support to further embedding and underpinning
</t>
    </r>
    <r>
      <rPr>
        <rFont val="Nunito"/>
        <color rgb="FF000000"/>
        <sz val="10.0"/>
      </rPr>
      <t xml:space="preserve">4 = The investment thesis &amp; strategy actively considers one or more of: near-term, material, scalable solutions and/or in climate vulnerable people or places in their investment thesis and are integrated into the approach. </t>
    </r>
    <r>
      <rPr>
        <rFont val="Nunito"/>
        <color rgb="FF222222"/>
        <sz val="10.0"/>
      </rPr>
      <t xml:space="preserve">
5 = The fund's Theory of Change, investment thesis and strategy fully align with solutions that are near-term, material and scalable and/or in climate vulnerable people or places, are well articulated and underpinned in their marketing materials and supported by internal policies, processes and reporting</t>
    </r>
  </si>
  <si>
    <t>1c</t>
  </si>
  <si>
    <t>Climate Taxonomy &amp; Impact Measurement, Management &amp; Monitoring</t>
  </si>
  <si>
    <t>The fund has a robust climate impact measurement, management &amp; monitoring system, including appropriate policies, processes and people. The fund has adopted existing climate/nature taxonomy, including but not limited to: TCFD, TNFC, SBTi, Project Drawdown, Paris Agreement, Net Zero, Project Frame and/or UN SDGs &amp; sub-goals. Climate impact reporting is used for internal purposes (i.e. investment decision-making, monitoring, reporting, incentivization) as well as external stakeholder communcation and reporting. Where possible, the fund collects gender-disaggregated climate data on its investments.</t>
  </si>
  <si>
    <t xml:space="preserve">1 = The fund does not, and has no plans to track, measure or report on global standards and metrics
2 = The fund tracks and measures some standards, but not consistently or aligned with standards
</t>
  </si>
  <si>
    <t>3 = The fund tracks and measures some standards, however commits to developing measurement and reporting systems that better align with global standards (but may require support to do so)
4 = The fund tracks and measures on global standards and metrics in its portfolio and uses this data for portfolio management and/or adhoc LP reporting but no external/limited impact reporting data is made available
5. The fund has a best-in-class system that tracks, measures and reports on global climate standards and metrics to enhance porfolio performance, to align with LP reporting requirements, and provide regular external impact reports</t>
  </si>
  <si>
    <t>1d</t>
  </si>
  <si>
    <t>Just Transition</t>
  </si>
  <si>
    <t xml:space="preserve">A Just Transition seeks to ensure that the substantial benefits of a green economy transition are shared widely while also supporting those who stand to lose economically. It means investing in a way that is as fair and inclusive as possible, creating decent opportunities, sustained growth and leaving no one behind. (i.e. creating greater sustainable wealth for communities; improving access to climate-related goods &amp; services, etc). The fund is able to articulate and demonstrate a clear strategy to ensuring a Just Transition with the ability to define a set of stategic, clear and time-bound actions at the portfolio and fund level that seeks to ensure the benefits of a transition to a green economy are shared widely, and where lived experience and a focus on proximity is baked in, all the way from the design to the outcomes. </t>
  </si>
  <si>
    <t xml:space="preserve">1 = The fund does not have a Just Transition lens, has no understanding and no intention of incorporating one
2 = The fund does not have a Just Transition lens, has some limited understanding and policies, but they are not consistent or aligned with standards
</t>
  </si>
  <si>
    <t>3 =The fund does not have a Just Transition Lens, has some understanding, sees the benefit and applicability to their strategy and is interested to receive support to incorporate one
4 = The fund has a Just Transition Lens with a clear formulation of its impact intention into the Theory of Change, however lacks formalization, operationalization and measurement/reporting capabilities, but is willing to incorporate
5 = The fund has a clearly articulated and well thought out Just Transition Lens, linked to their Theory of Change, which is embedded in their processes, procedures and people, with clear impact objectives and time-bound actions in place. It is able to engage in nuanced discussions in terms of how their Just Transition approach is practiced at both the fund and portfolio level</t>
  </si>
  <si>
    <t>Total Subscore</t>
  </si>
  <si>
    <t xml:space="preserve">II. Breadth &amp; Depth of Gender </t>
  </si>
  <si>
    <t>2a</t>
  </si>
  <si>
    <t>Gender Lens</t>
  </si>
  <si>
    <t xml:space="preserve">Gender lens investing is the integration of gender analysis alongside financial analysis , incuding new or existing investment processes for better social and financial outcomes. The fund must have an explicit gender lens or a gender and broader diversity and inclusion lens as part of their investment strategy and thesis, spanning baseline representation of women/underserved groups at fund and portfolio levels as well as policies, processes and guidelines to support equity in the workplace. Beyond representation and policies, funds should demonstrate that they integrate a broader gender lens in their approach, activities and demonstrate intentionality and authenticity in other, more qualitative ways such as: i) outlining time-bound commitments to enact further gender-smart actions; ii) integrating gender-smart approaches across the investment process to address unconscious bias ; iii) bringing in gender expertise as part of market analysis, due diligence and decision-making; iv) examining and improving their own processes and actions through a power lens and other such activities; v) incorporating gender/racial/ethnic diversity in the analysis and set-up of the entire value chain of fund admin and support, including suppliers, vendors, legal and administrative support, etc. 
</t>
  </si>
  <si>
    <t xml:space="preserve">1 = The fund has no explicit gender or inclusion lens, and no intention of incorporating one
2 = The fund is able to verbally articulate the importance of a gender and inclusion lens but does not have an intentional thesis, strategy, or defined set of actions it priortizes to support this agenda
</t>
  </si>
  <si>
    <t>3 = The fund has a defined strategy and/or position on gender and/or inclusion, however currently has no tangible actions at the fund or portfolio level, though are commited to developing an intentional approach with defined set of actions it priortizes to support this agenda
4 = The fund has a clear formulation of its gender lens intention into a Theory of Change/impact strategy or investment thesis and has some adhoc priorties or timebound actions that it applies at fund or portfolio level, althought not consistently (potentially for strategic reasons related to market bias)
5 = The fund has a clear gender investing strategy, including investment thesis, and actively integrates gender-smart practices across its investment process, including key areas such as risk assessments, gendered due diligence, engagement in gender-specific portfolio monitoring and may use incentives, accountability mechanisms and/ or TA to enhance gender outcomes at porfolio level. The fund has its gender position clearly articulated within its marketing materials and externally positions itself as a gender lens fund. The fund creates opportunities for gender and inclusion within the fund, across its portfolio and the supply chain</t>
  </si>
  <si>
    <t>2b</t>
  </si>
  <si>
    <t>Women's Ownership &amp; Leadership</t>
  </si>
  <si>
    <t>The fund must meet one criteria for Entrepreneurship/Ownership and one criteria for Leadership:
- Entrepreneurship/Ownership: (i) is founded by a self-identifying woman OR (ii) at least 30% women-owned
- Leadership: (i) at least 50% of the fund management team are women and/or from under-represented backgrounds, OR (ii) 25% of the fund management team are women if other management team members are diverse OR (iii) at least 50% of women on the IC, Board or other decision-making body. 
At portfolio company level, at least 30% of the portfolio companies must meet one of the following criteria: 
- Entrepreneurship/Ownership: is founded by a woman OR at least 30% owned by women
- Leadership: 30% of senior management team are women
- Employees and Supply Chain: 40% of the workforce and/or supply chain are women 
- Consumers: Products or services disproportionately or specifically benefit women
In addition, qualifying funds and portfolio companies must also demonstrate minimum governance and accountability requirements. Guidance on this aspect can be found under the updated 2X Criteria, as well as by looking at gender-smart policies and practices in place within the fund and the portfolio companies). Also, Sweef Capital Gender ROI™ (Gender ROI™) tool provides clear and common language around gender, including the importance of clear systems and processes with which to translate aspirations into superior financial performance and positive social, economic and environmental impact. Note: Some of these thresholds, particularly as it relates to the 2X Criteria were adjusted to reflect current and prevailing market dynamics</t>
  </si>
  <si>
    <t xml:space="preserve">1 = No gender diversity in founding team, ownership or leadership at fund or portfolio company level
2 = Some diversity present but does not meet criteria at fund and/or portfolio company level
</t>
  </si>
  <si>
    <t>3 = Fund meets criteria for entrepreneurship/ownership OR Leadership at fund level and is open to support in bridging the gap and setting time-bound targets at both fund and portfolio company level
4 = Fund meets criteria for entrepreneurship/ownership and fund management team, but not IC/decision-making, and is open to support and setting time-bound targets on advancement
5 = Fund exceeds criteria for entrepreneurship/ownership &amp; leadership at both the fund and portfolio company level and has clear and stated intention, targets and commitments to enact</t>
  </si>
  <si>
    <t>2c</t>
  </si>
  <si>
    <t>Gender &amp; Inclusion Principles &amp; Impact Measurement, Management &amp; Monitoring</t>
  </si>
  <si>
    <t>The fund leverages globally recognised tools such as the 2X Criteria(harmonised with IRIS+, UN Women's Women Empowerment Principles (WEPs) etc), Criterion Institute's Process Standards, Sweef's ROI tool and others, and aligns with broad criteria and entry points for investing with a gender lens. The fund actively tracks, measures and reports on gender standards and metrics in its portfolio. Gender impact reporting is used for internal purposes (i.e. strategy, investment decision-making, monitoring, reporting, incentivization) as well as external stakeholder communcation and reporting</t>
  </si>
  <si>
    <t xml:space="preserve">1 = The fund does not, and has no plans to track, measure or report on global gender standards and metrics
2 = The fund tracks and measure some standards but this is either not done consistently nor is it aligned with global standards
</t>
  </si>
  <si>
    <t>3 = The fund tracks and measure some standards, however committs to developing measurement and reporting systems that better align with global standards (but may require support to do so)
4 = The fund tracks and measures on global standards and metrics in its portfolio and uses this data for portfolio management and/or adhoc LP reporting but no external impact reporting data is made available
5. The fund has a best-in-class system that tracks, measures and reports on global standards and metrics to enhance porfolio performance, to align with LP reporting requirements, and provide regular external impact reports</t>
  </si>
  <si>
    <t>2d</t>
  </si>
  <si>
    <t>Justice, Equity, Diversity &amp; Inclusion</t>
  </si>
  <si>
    <t>Justice, Equity, Diversity and Inclusion ("JEDI")  promotes the incorporation of gender, racial and ethnic justice in global investment decision making and contributes toward facilitating the broader transition towards a more participatory, equitable and sustainable financial ecosystem. The fund demonstrates diversity beyond gender in fund leadership and decision making, with awareness of intersectionality, power dynamics and how existing structures are being challenged/changed to allow broader and better access to underestimated groups and communities. The fund also actively demonstrates an internal commitment to supporting team members to have access to opportunities and advancement to leadership and decision-making positions and in overall succession and growth plans, as well as in tackling barriers to achieving their full potential. The fund demonstrates a commitment to encouraging and driving these same practices in their portfolio companies, and other relevant stakeholders (such as in the supply chain, vendors).</t>
  </si>
  <si>
    <t xml:space="preserve">1 = No explicit mention, implicit understanding of JEDI principles and poor representation of diverse groups "other than women" in fund structures. No active plans or intentions to actively create opportunities for equity and inclusion in the fund
2 = The fund is able to verbally articulate the importance of a broader JEDI lens but does not have an intentional thesis, strategy, or defined set of actions it priortizes to support this agenda
</t>
  </si>
  <si>
    <t xml:space="preserve">3 = The fund has a defined strategy and/or position on JEDI, however currently has no tangible actions at fund or portfolio level though are commited to developing an intentional approach with defined set of actions it priortises to support this agenda.
4 = The fund has a clear formulation of its JEDI intention into a Theory of Change, impact strategy or formulated policies and engages in some adhoc opportunities, priorities or timebound actions that it applies at fund or portfolio level (although not consistently)
5 = The fund has a clear JEDI strategy including investment thesis and actively integrates considerations across its investment process, has or is actively creating and advancing a diverse workplace at fund level, engages in broader stakeholder acitvism, and takes actions with its porfolio companies to enhance JEDI outcomes
</t>
  </si>
  <si>
    <t>III. Climate &amp; Gender Integration</t>
  </si>
  <si>
    <t>3a</t>
  </si>
  <si>
    <t>Women as Agents of Change in Investment Thesis</t>
  </si>
  <si>
    <t>The fund considers the role and impact of women, as well as a broader gender and diversity lens, in their climate/nature investment thesis. A few examples of how the climate and gender integration is demonstrated include: 
- Considering the ways in which women, girls and other marginalised communities are disproportionately impacted by the key climate/nature-related risks the thesis seeks to address; considering the ways in which there are potential risks to the fund’s investment strategy, process or performance by not intentionally including/focusing on women &amp; girls and other marginalised communities 
- Indentifying climate-smart products or services which are better for women and gender equality more broadly, identifying areas where women's unique expertise/experience could be leveraged (in terms of product design, leadership, as consumers) and 
- Considering ways in which the inclusion of women as change agents contributes to improved financial, climate and social outcomes</t>
  </si>
  <si>
    <t>1 = No integration and no evidence of willingness to include
2 = No integration, some evidence and willingness to include</t>
  </si>
  <si>
    <t>3 = Early integration (i.e. the fund manager can speak to the integration of a gender lens and the role of women in the climate value chain/creating improved climate/financial outcomes, but it is not embedded in nor has it informed the development of their thesis nor approach) AND/OR strong intentionality to integrate
4 = Partially integrated thesis (i.e. the role of women is implicitly embedded in the investment thesis, but is not included explicitly in fund materials and/or is not fully considered across all aspects of the thesis - for example, they consider how women and girls might be disproportionately impacted by climate risks, but not how women's engagement in the climate solutions value chain can improve outcomes)
5 = Fully integrated thesis and embedded in strategy and processes</t>
  </si>
  <si>
    <t>3b</t>
  </si>
  <si>
    <t>Women as Agents of Change in the Investment Process</t>
  </si>
  <si>
    <t>The fund considers the role that women (could) play as agents of change, as well as a broader gender and diveristy lens, in some or all aspects of their investment process, including opportunity mapping &amp; sector identification, deal sourcing, screening and DD and/or post investment support.</t>
  </si>
  <si>
    <t>1 = No consideration and no evidence of willingness to integrate into the investment process
2 = No consideration, some evidence and willingness to intergate into the investment process</t>
  </si>
  <si>
    <t>3 = Early integration (i.e. the fund manager can speak to the gender lens and the role of women in the climate value chain/creating improved climate/financial outcomes, but it is not embedded, nor has it informed the development of their thesis nor approach) AND/OR there is strong intentionality to integrate
4 = Partially integrated thesis (i.e. the gender lens and role of women is implicitly embedded in the investment thesis, but is not included explicitly in fund materials and/or is not fully considered across all aspects of the thesis--for example, they consider how women and girls might be disproportionately impacted by climate risks, but not how women's engagement in the climate solutions value chain can improve outcomes)
5 = Fully integrated thesis and embedded in strategy and processes</t>
  </si>
  <si>
    <t>3c</t>
  </si>
  <si>
    <t>Eliminating Barriers to Women's Active Participation as Change Agents</t>
  </si>
  <si>
    <t>The fund is aware of the barriers that women and underrepresented groups face to gaining equal access to jobs/roles in the industries of focus, and is in some way contirbuting to the elimination of these barriers (i.e. providing technical support, developing relationships with other stakeholders/thought leaders, bringing in diverse voices such as women's rights organisations, other local and proximate community actors, etc).</t>
  </si>
  <si>
    <t>1 = No evidence of awareness nor action to eliminate barriers
2 = No current action, some evidence of awareness and willingness to develop actions and eliminate barriers</t>
  </si>
  <si>
    <t xml:space="preserve">3 = Strong evidence of intent/willingness to address barriers AND early signs of action (for e.g. consulting with community actors and grassroots organizations to understand barriers/challenges)
4 = Clear evidence of both awareness and some degree of action to eliminate barriers for women and under-represented groups (for e.g. ongoing development of a strategy or plan of action to support portfolio in hiring/retaining women, particularly those from under-represented groups )
5 =  Participatory, collaborative, evidence-based actions to eliminate barriers for women and under-represented groups are clearly and well integrated into fund processes and/or strategy
</t>
  </si>
  <si>
    <t>3d</t>
  </si>
  <si>
    <t xml:space="preserve">Transformational Change for Women </t>
  </si>
  <si>
    <t>The fund is catalysing transformational change for women, with a focus on improved outcomes for the lives and livelihoods of women, and is on a journey of moving along gender-aware to positive and transformative gender equality outcomes. It could also be leveraging gender-disaggregated data to improve climate outcomes, and integrating local and proximate voices who are at the forefront of climate change and climate action, into product design/delivery/follow ups.</t>
  </si>
  <si>
    <t>1 = No evidence of transformational change for women, nor of a willigness to considering improved outcomes for women in the thesis or investment strategy and process
2 = No evidence of transformational change for women, but some evidence of a willigness to considering improved outcomes for women</t>
  </si>
  <si>
    <t>3 = Early signs of considering transformational change for women is embedded in some aspects thesis, strategy and process (for e.g some consultations with grassroots orgs)
4 = Transformational change for women is partially embedded in all aspects of thesis, strategy and process (for e.g all new product design occurs in partnership with community actors and climate resilience outcomes are co-created)
5 = Transformational change for women is deeply embedded in all aspects of thesis, strategy and process (for e.g. the investment Theory of Change was co-created with all relevant stakeholders, there are diverse voices involved in investment decision making, including women's rights organisations, and product design to sales is all built with end consumers and outcomes in mind</t>
  </si>
  <si>
    <t>3e</t>
  </si>
  <si>
    <t>Scaling Products and Services by/for Women</t>
  </si>
  <si>
    <t>At least 30% of the portfolio/pipeline must demonstrate that women play an outsized role in developing, manufacturing, distributing, selling and/or buying products or services to tackle climate-related challenges. This includes: 
- Promoting or accelerating women entrepreneurs and leaders to advance climate action - as idea generators, product or service designers or good leaders
- Creating quality green jobs or opportunities for women in the workforce or supply chain, and/or include intersections around care economy 
- Designing or adapting products and services which a) have been designed including women and other under-represented groups, b) improve women’s access to, usage and benefit from climate-smart solutions (c) address gender gaps or inequalities and contribute to greater economic empowerment, enhanced resilience, better livelihoods and more or d) also consider unintended consequences/how aspects of gender-based violence may intersect with/impact goods and services</t>
  </si>
  <si>
    <t xml:space="preserve">1 = Women do not appear to play a role in the climate value chain in any of the portfolio companies/pipeline
2 = Women play a role in the climate value chain in less than 30% of the portfolio companies/pipeline and there is limited or no evidence of an intent to increase this number either in subsequent investments or in helping existing portfolio companies to engage women in the development and scaling of climate solutions
 </t>
  </si>
  <si>
    <t>3 = Women play a role in the climate value chain in less than 30% of the portfolio companies/or pipeline. AND there is strong evidence of an intent to increase this number either in subsequent investments or in helping existing portfolio companies to engage women in the development and scaling of climate solutions
4 = Women play a role in the climate value chain in at least 50% of the portfolio companies
5 = Women play a role in the climate value chain in 100% of the portfolio companies</t>
  </si>
  <si>
    <t xml:space="preserve">IV. Organization &amp; Team </t>
  </si>
  <si>
    <t>4a</t>
  </si>
  <si>
    <t>Track Record</t>
  </si>
  <si>
    <t>Fund team has either a proven &amp; verifiable investment/exit track record relevant to the fund's investment strategy and/or sufficient proxies( i.e. angel / warehouse investments/other financial sector experience). For newer funds/managers, we will align with the Due Diligence 2.0 Commitment and “will evaluate members of the investment and leadership team based on past experience, investment sourcing capabilities, domain expertise, operational value add, as well as assess prior track records in related or relevant work. To the extend the manager is using partner firms to complement their skillsets, the relevant experience and track records of said partners will be evaluated.</t>
  </si>
  <si>
    <t>1 = No relevant prior investment or operational track record in climate or gender or poor long term performance. The fund underperforms peers and benchmarks in the same vintage and has not delivered the targeted impact
 2 = Moderate relevant past performance in climate or gender associated to very few outliers with a high loss ratio, and the fund has not delivered the targeted impact</t>
  </si>
  <si>
    <t>3 = Relevant and demonstrated investment track record in climate or gender but limited distributions or realizations and too early to gauge impact
4 = Solid and relevant track record, some distributions/exits with clear demonstration of value add and early impact achievements
5 = Strong, long-term/cycle tested and relevant climate &amp; gender investment track record with low loss ratio and clear demonstration of impact</t>
  </si>
  <si>
    <t>4b</t>
  </si>
  <si>
    <t xml:space="preserve">Team History, Cohesion and Complementarity  &amp; Culture </t>
  </si>
  <si>
    <t>The team has demonstrated a history of working together or collaborating as co-investors, co-founders or partners in a previous venture, etc. In addition, fund managers demonstrate differentiated and complementary skill sets and backgrounds. The team fosters a strong and gender-smart culture, leading by example in the way in which they create an inclusive workplace for all.</t>
  </si>
  <si>
    <t>1 = New or first time fund and team with no prior history of working together and no/limited prior relevant climate or gender investment experience. No inclusive culture
2 = New or first time team with some prior working history and some climate or gender experience. Moderately inclusive culture with room for improvement</t>
  </si>
  <si>
    <t>3 = New or first time team with prior and relevant history, backgrounds and complementary climate and gender experience OR emerging team (c. 3 - 5 years together) who worked on predecessor fund and have complementary backgrounds and skill sets, with a commitment to developing and fostering an inclusive culture
4 = Experienced, well-resourced and cohesive team (c. 5 - 7 years together) with a good blend of background and inclusive culture and low turnover
5 = Highly experienced, stable and cohesive team working together over a long period (+10 years) with complementary backgrounds and skill-sets, and a strong &amp; inclusive culture</t>
  </si>
  <si>
    <t>4c</t>
  </si>
  <si>
    <t>Team Location &amp; Composition &amp; Diversity</t>
  </si>
  <si>
    <t>Team members are primarily based in the markets where they are active and have a balanced/diverse team including investment professionals from the markets where they are active.</t>
  </si>
  <si>
    <t>1 = Team has no local representation and is not present in the markets in which they invest
2 = Team has some diversity and representation of and presence in the markets in which they invest but not in senior or decision making roles</t>
  </si>
  <si>
    <t xml:space="preserve">3 = Team location and representation are satisfactory in terms of relevant local/in country time spent
4 = GPs are not based locally, but spend enough time on the ground and other senior investment team members are on the ground
5 = Key investment team members or partners are based locally where investments are made or on the ground often enough, deeply immersed in local community and also bring in relevant local partners and stakeholders to fill gaps
</t>
  </si>
  <si>
    <t>4d</t>
  </si>
  <si>
    <t>Alignment of Interest</t>
  </si>
  <si>
    <t>Carried interest is broad based, well split and spread and appropriately reflects an individual's role/contribution to the success of the fund; when appropriate, there is a relevant, realistic &amp; material GP commit to help appropriately align incentives.</t>
  </si>
  <si>
    <t>1 = Carried interest is concentrated with partner(s) with no expectation to share broadly and/or no GP commit
2 = Carried interest is concetrated with several partners, is not transparent and there is a low/non-material GP commit</t>
  </si>
  <si>
    <t>3 = Carried interest is more broadly and appropriately spread in the investment team with a modest GP commit and a commitment to increase in future funds
4 = Carried interest is well spread across the entire team and firm with an appropriately aligning and incentivizing GP commit
5 = Carried interest is broad based, well spread and transparently communicated across the entire team and firm with a material / "above market" GP commit</t>
  </si>
  <si>
    <t>V. Fundraising, Fund Terms, Structure &amp; Risk</t>
  </si>
  <si>
    <t>5a</t>
  </si>
  <si>
    <t xml:space="preserve">Fundraising Status </t>
  </si>
  <si>
    <t xml:space="preserve">The fund is currently fundraising and is on track for a final close within the next 12-18 months at a fund size which has been deemed at least mininmally viable to retain the team and properly execute the envisaged investment strategy. </t>
  </si>
  <si>
    <t>1 = Lengthy fundraising (+18 months) with no/little fundraising traction and no visibility on a first close
2 = Lengthy fundraising (+12 months), some traction but unlikely to achieve a first close in the next 12 months</t>
  </si>
  <si>
    <t>3 = Some early fundraising traction (DD / soft / conditional commitments) with moderate but acceptable fundraising risk, where investors believe they can acheive a minimum viable fund size within the next 12 months
4 = Hard or soft commitments secured and the fund is on-track for a close at or above the minimum viable fund size within the next 12 months
5 = First close at/above minimum viable fund size with good visibility to reach fund target/hard cap within 12 months</t>
  </si>
  <si>
    <t>5b</t>
  </si>
  <si>
    <t>Anchor Investor</t>
  </si>
  <si>
    <t>The fund must have secured a commitment from an anchor investor or is in advanced talks with an anchor investor (or group of investors) to commit 5-10% of the target fund size and has line of sight to a first close, if one has not already occurred.</t>
  </si>
  <si>
    <t>1 = No anchor and no early commitments
2 = Early commitments less than 10%</t>
  </si>
  <si>
    <t>3 = Soft commitments secured c. 10%, no anchor investor(s) but good fundraising pipeline and in discussion with potential anchor(s)
4 = Anchor commitment secured c. 10-20% of fund size and good fundraising pipeline/visibility of like-minded and aligned investors
5 = Anchor commitment(s) secured c. 20% of fund size and strong hard and soft commitments from other aligned and like-minded investors</t>
  </si>
  <si>
    <t>5c</t>
  </si>
  <si>
    <t>Fund Terms &amp; Structure</t>
  </si>
  <si>
    <t>General fund terms (i.e. management fee, hurdle, carried intertest, GP commit, investment period, fund life) are reasonable, acceptable and in line with market standards and/or are appropriate given the fund structure or asset class.</t>
  </si>
  <si>
    <t xml:space="preserve">1 = Fund terms off-market, inappropriate for investment strategy and asset class, and/or represent legal risk to the investor, and no willingness to change
2 =  Mixed terms/ less appropriate terms and unwilling to change
</t>
  </si>
  <si>
    <t xml:space="preserve">3 = Mixed terms with area for improvement and willingness to adjust/align with market acceptable terms
4 = Largely in line with the market and appropriate for the investment strategy and asset class 
5 = Fully in line with/better than market standard </t>
  </si>
  <si>
    <t>5d</t>
  </si>
  <si>
    <t>Financial Viability</t>
  </si>
  <si>
    <t xml:space="preserve">A cursory review of fund financials demonstrates credible and realistic assumptions by the fund manager and is consistent with return expectations for the asset class, sector of focus and investment strategy. Furthermore the fund manager has sufficient income (from either management fee or working capital) to sustain the fund manager and team for the coming 12 - 24 months and there is comfort and confidence about the mid-long term viability of the firm and fund. </t>
  </si>
  <si>
    <t>1 = The fund has no financial model/projected returns and/or they are unrealistic and inappropriate for the investment strategy or asset class. Fund manager is not viable without working capital and/or achieving a minimum viable fund size
2 = Basic model but assumptions are unrealistic and the investment strategy is not expected to return capital / be sustainable. Fund manager viability at risk depending on securing working capital and/or achieving a minimum viable fund size</t>
  </si>
  <si>
    <t>3 = Basic fund model/projections with at least a capital preservation expected in the downside scenario. Moderate short term financial viability of the manager although achieving a minimum viable fund size is critical to maintain the team
4 = Fund model/target returns are in line with the market and expected to achieve at least the hurdle rate. Solid financial viability and runway with ability to keep the team even if there are fundraising delays
5 = Fund model/projections are well underpinned and deemed reasonable, realistic and appropriate for the investment strategy and asset class with high expectations on its ability to deliver strong financial and impact outcomes at or above target. Fund manager is financially viable, has adequate cash runway to properly manage the fund and maintain the team</t>
  </si>
  <si>
    <t>5e</t>
  </si>
  <si>
    <t xml:space="preserve">Risk Assessment </t>
  </si>
  <si>
    <t>A cursory review of legal, operational and technical risks does not indicate that there are risks that would meaningfully impact the investor's investment mandate or reputation or would have an adverse impact on projected financial and impact outcomes.</t>
  </si>
  <si>
    <t>1 = Material risks exist which cannot be appropriately mitigated
2 = Material risks exist with some, but insufficient, mitigation</t>
  </si>
  <si>
    <t>3 = Some know and unknown risks which are partially mitigated but acceptable
4 = Some risks exist but they are well identified and mitigated
5 = Few risks all of which are well understood, accepted and mitigated</t>
  </si>
  <si>
    <t>FINAL SCORE</t>
  </si>
  <si>
    <t>Heading for Change disclaimer:</t>
  </si>
  <si>
    <t>The information contained in this Scorecard is for the intended recipient's use only. The information contained herein is strictly confidential and is given to selected interested recipients for general information only</t>
  </si>
  <si>
    <t xml:space="preserve">Heading for Change is not, whether by way of this document or any other communications, offering or rendering any solicitation, advice or investment services or ancillary services. </t>
  </si>
  <si>
    <t>All information contained in the Scorecard is subject to further modifications and there shall be no obligation on Heading for Change to notify or update any of the information set forth herein and neither Heading for Change nor any of its subsidiaries or affiliates shall be liable for this material if altered, changed or falsified. It is not to be construed as a prediction or expectation of future results or performance and no reliance may be placed hereupon for any purpose whatsoever and no liability derived there from.</t>
  </si>
  <si>
    <t>Scorecard Scoring Summary</t>
  </si>
  <si>
    <t>Criteria</t>
  </si>
  <si>
    <t>Weight</t>
  </si>
  <si>
    <t>TOTAL</t>
  </si>
  <si>
    <t>Scorecard Components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</si>
</sst>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scheme val="minor"/>
    </font>
    <font>
      <b/>
      <sz val="20.0"/>
      <color rgb="FF15668C"/>
      <name val="Nunito"/>
    </font>
    <font>
      <sz val="10.0"/>
      <color theme="1"/>
      <name val="Barlow"/>
    </font>
    <font>
      <b/>
      <sz val="18.0"/>
      <color theme="1"/>
      <name val="Barlow"/>
    </font>
    <font>
      <sz val="11.0"/>
      <color theme="1"/>
      <name val="Nunito"/>
    </font>
    <font>
      <b/>
      <sz val="10.0"/>
      <color rgb="FF15668C"/>
      <name val="Barlow"/>
    </font>
    <font>
      <color theme="1"/>
      <name val="Barlow"/>
    </font>
    <font>
      <sz val="10.0"/>
      <color rgb="FF000000"/>
      <name val="Arial"/>
    </font>
    <font>
      <sz val="10.0"/>
      <color theme="1"/>
      <name val="Nunito"/>
    </font>
    <font>
      <u/>
      <sz val="10.0"/>
      <color theme="1"/>
      <name val="Barlow"/>
    </font>
    <font>
      <b/>
      <sz val="10.0"/>
      <color rgb="FFFFFFFF"/>
      <name val="Nunito"/>
    </font>
    <font/>
    <font>
      <sz val="10.0"/>
      <color rgb="FF000000"/>
      <name val="Nunito"/>
    </font>
    <font>
      <sz val="10.0"/>
      <color rgb="FF222222"/>
      <name val="Nunito"/>
    </font>
    <font>
      <sz val="10.0"/>
      <color rgb="FFFFFFFF"/>
      <name val="Nunito"/>
    </font>
    <font>
      <sz val="10.0"/>
      <color rgb="FF434343"/>
      <name val="Nunito"/>
    </font>
    <font>
      <sz val="10.0"/>
      <color rgb="FFFFFFFF"/>
      <name val="Barlow"/>
    </font>
    <font>
      <b/>
      <sz val="10.0"/>
      <color rgb="FFFFFFFF"/>
      <name val="Barlow"/>
    </font>
    <font>
      <b/>
      <i/>
      <sz val="10.0"/>
      <color rgb="FF15668C"/>
      <name val="Barlow"/>
    </font>
    <font>
      <i/>
      <sz val="10.0"/>
      <color rgb="FF15668C"/>
      <name val="Barlow"/>
    </font>
    <font>
      <sz val="10.0"/>
      <color theme="1"/>
      <name val="Arial"/>
    </font>
    <font>
      <sz val="11.0"/>
      <color rgb="FF000000"/>
      <name val="Barlow"/>
    </font>
    <font>
      <sz val="10.0"/>
      <color rgb="FF000000"/>
      <name val="Barlow"/>
    </font>
  </fonts>
  <fills count="10">
    <fill>
      <patternFill patternType="none"/>
    </fill>
    <fill>
      <patternFill patternType="lightGray"/>
    </fill>
    <fill>
      <patternFill patternType="solid">
        <fgColor rgb="FF45818E"/>
        <bgColor rgb="FF45818E"/>
      </patternFill>
    </fill>
    <fill>
      <patternFill patternType="solid">
        <fgColor rgb="FFA2C4C9"/>
        <bgColor rgb="FFA2C4C9"/>
      </patternFill>
    </fill>
    <fill>
      <patternFill patternType="solid">
        <fgColor rgb="FFFFFFFF"/>
        <bgColor rgb="FFFFFFFF"/>
      </patternFill>
    </fill>
    <fill>
      <patternFill patternType="solid">
        <fgColor rgb="FF76A5AF"/>
        <bgColor rgb="FF76A5AF"/>
      </patternFill>
    </fill>
    <fill>
      <patternFill patternType="solid">
        <fgColor rgb="FFB4A7D6"/>
        <bgColor rgb="FFB4A7D6"/>
      </patternFill>
    </fill>
    <fill>
      <patternFill patternType="solid">
        <fgColor rgb="FFF9CB9C"/>
        <bgColor rgb="FFF9CB9C"/>
      </patternFill>
    </fill>
    <fill>
      <patternFill patternType="solid">
        <fgColor rgb="FFD5A6BD"/>
        <bgColor rgb="FFD5A6BD"/>
      </patternFill>
    </fill>
    <fill>
      <patternFill patternType="solid">
        <fgColor rgb="FF9FC5E8"/>
        <bgColor rgb="FF9FC5E8"/>
      </patternFill>
    </fill>
  </fills>
  <borders count="18">
    <border/>
    <border>
      <left/>
      <top/>
      <bottom/>
    </border>
    <border>
      <top/>
      <bottom/>
    </border>
    <border>
      <left/>
      <right/>
      <top/>
      <bottom/>
    </border>
    <border>
      <left/>
      <right/>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rder>
    <border>
      <right style="thin">
        <color rgb="FF000000"/>
      </right>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shrinkToFit="0" vertical="top" wrapText="1"/>
    </xf>
    <xf borderId="0" fillId="0" fontId="3" numFmtId="0" xfId="0" applyAlignment="1" applyFont="1">
      <alignment horizontal="center" vertical="center"/>
    </xf>
    <xf borderId="0" fillId="0" fontId="2" numFmtId="0" xfId="0" applyFont="1"/>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readingOrder="0"/>
    </xf>
    <xf borderId="0" fillId="0" fontId="4"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horizontal="left" readingOrder="0" shrinkToFit="0" wrapText="1"/>
    </xf>
    <xf borderId="0" fillId="0" fontId="5" numFmtId="0" xfId="0" applyFont="1"/>
    <xf borderId="0" fillId="0" fontId="6" numFmtId="0" xfId="0" applyAlignment="1" applyFont="1">
      <alignment shrinkToFit="0" vertical="top" wrapText="1"/>
    </xf>
    <xf borderId="0" fillId="0" fontId="2" numFmtId="0" xfId="0" applyAlignment="1" applyFont="1">
      <alignment horizontal="left"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9" numFmtId="0" xfId="0" applyAlignment="1" applyFont="1">
      <alignment shrinkToFit="0" wrapText="1"/>
    </xf>
    <xf borderId="1" fillId="2" fontId="10" numFmtId="0" xfId="0" applyAlignment="1" applyBorder="1" applyFill="1" applyFont="1">
      <alignment horizontal="left" shrinkToFit="0" wrapText="1"/>
    </xf>
    <xf borderId="2" fillId="0" fontId="11" numFmtId="0" xfId="0" applyBorder="1" applyFont="1"/>
    <xf borderId="3" fillId="2" fontId="10" numFmtId="0" xfId="0" applyAlignment="1" applyBorder="1" applyFont="1">
      <alignment horizontal="center" shrinkToFit="0" wrapText="1"/>
    </xf>
    <xf borderId="3" fillId="2" fontId="10" numFmtId="0" xfId="0" applyAlignment="1" applyBorder="1" applyFont="1">
      <alignment horizontal="left" shrinkToFit="0" vertical="top" wrapText="1"/>
    </xf>
    <xf borderId="0" fillId="0" fontId="8" numFmtId="0" xfId="0" applyAlignment="1" applyFont="1">
      <alignment shrinkToFit="0" vertical="center" wrapText="1"/>
    </xf>
    <xf borderId="0" fillId="0" fontId="12" numFmtId="0" xfId="0" applyAlignment="1" applyFont="1">
      <alignment horizontal="left" shrinkToFit="0" vertical="center" wrapText="1"/>
    </xf>
    <xf borderId="0" fillId="0" fontId="8" numFmtId="9" xfId="0" applyAlignment="1" applyFont="1" applyNumberFormat="1">
      <alignment horizontal="center" shrinkToFit="0" vertical="center" wrapText="1"/>
    </xf>
    <xf borderId="3" fillId="3" fontId="8" numFmtId="0" xfId="0" applyAlignment="1" applyBorder="1" applyFill="1" applyFont="1">
      <alignment horizontal="center" shrinkToFit="0" vertical="center" wrapText="1"/>
    </xf>
    <xf borderId="0" fillId="0" fontId="8" numFmtId="0" xfId="0" applyAlignment="1" applyFont="1">
      <alignment horizontal="left" shrinkToFit="0" vertical="top" wrapText="1"/>
    </xf>
    <xf borderId="0" fillId="0" fontId="8" numFmtId="0" xfId="0" applyAlignment="1" applyFont="1">
      <alignment horizontal="left" shrinkToFit="0" vertical="center" wrapText="1"/>
    </xf>
    <xf borderId="3" fillId="4" fontId="13" numFmtId="0" xfId="0" applyAlignment="1" applyBorder="1" applyFill="1" applyFont="1">
      <alignment shrinkToFit="0" vertical="top" wrapText="1"/>
    </xf>
    <xf borderId="3" fillId="4" fontId="12" numFmtId="0" xfId="0" applyAlignment="1" applyBorder="1" applyFont="1">
      <alignment horizontal="left" shrinkToFit="0" vertical="top" wrapText="1"/>
    </xf>
    <xf borderId="0" fillId="0" fontId="12" numFmtId="0" xfId="0" applyAlignment="1" applyFont="1">
      <alignment horizontal="left" shrinkToFit="0" vertical="top" wrapText="1"/>
    </xf>
    <xf borderId="0" fillId="0" fontId="14" numFmtId="9" xfId="0" applyAlignment="1" applyFont="1" applyNumberFormat="1">
      <alignment horizontal="center" shrinkToFit="0" wrapText="1"/>
    </xf>
    <xf borderId="0" fillId="0" fontId="8" numFmtId="0" xfId="0" applyAlignment="1" applyFont="1">
      <alignment horizontal="center" shrinkToFit="0" wrapText="1"/>
    </xf>
    <xf borderId="3" fillId="5" fontId="8" numFmtId="0" xfId="0" applyAlignment="1" applyBorder="1" applyFill="1" applyFont="1">
      <alignment shrinkToFit="0" wrapText="1"/>
    </xf>
    <xf borderId="3" fillId="5" fontId="10" numFmtId="0" xfId="0" applyAlignment="1" applyBorder="1" applyFont="1">
      <alignment shrinkToFit="0" wrapText="1"/>
    </xf>
    <xf borderId="3" fillId="5" fontId="10" numFmtId="9" xfId="0" applyAlignment="1" applyBorder="1" applyFont="1" applyNumberFormat="1">
      <alignment horizontal="center" shrinkToFit="0" wrapText="1"/>
    </xf>
    <xf borderId="3" fillId="5" fontId="10" numFmtId="0" xfId="0" applyAlignment="1" applyBorder="1" applyFont="1">
      <alignment horizontal="center" shrinkToFit="0" wrapText="1"/>
    </xf>
    <xf borderId="3" fillId="5" fontId="8" numFmtId="0" xfId="0" applyAlignment="1" applyBorder="1" applyFont="1">
      <alignment horizontal="left" shrinkToFit="0" vertical="top" wrapText="1"/>
    </xf>
    <xf borderId="0" fillId="0" fontId="12" numFmtId="0" xfId="0" applyAlignment="1" applyFont="1">
      <alignment shrinkToFit="0" vertical="top" wrapText="1"/>
    </xf>
    <xf borderId="0" fillId="0" fontId="8" numFmtId="0" xfId="0" applyAlignment="1" applyFont="1">
      <alignment shrinkToFit="0" vertical="top" wrapText="1"/>
    </xf>
    <xf borderId="3" fillId="4" fontId="14" numFmtId="9" xfId="0" applyAlignment="1" applyBorder="1" applyFont="1" applyNumberFormat="1">
      <alignment horizontal="center" shrinkToFit="0" wrapText="1"/>
    </xf>
    <xf borderId="3" fillId="4" fontId="8" numFmtId="0" xfId="0" applyAlignment="1" applyBorder="1" applyFont="1">
      <alignment horizontal="center" shrinkToFit="0" wrapText="1"/>
    </xf>
    <xf borderId="3" fillId="5" fontId="10" numFmtId="164" xfId="0" applyAlignment="1" applyBorder="1" applyFont="1" applyNumberFormat="1">
      <alignment horizontal="center" shrinkToFit="0" wrapText="1"/>
    </xf>
    <xf borderId="0" fillId="0" fontId="15" numFmtId="0" xfId="0" applyAlignment="1" applyFont="1">
      <alignment shrinkToFit="0" vertical="center" wrapText="1"/>
    </xf>
    <xf borderId="0" fillId="0" fontId="12" numFmtId="0" xfId="0" applyAlignment="1" applyFont="1">
      <alignment horizontal="center" shrinkToFit="0" wrapText="1"/>
    </xf>
    <xf borderId="0" fillId="0" fontId="16" numFmtId="9" xfId="0" applyAlignment="1" applyFont="1" applyNumberFormat="1">
      <alignment horizontal="center" shrinkToFit="0" wrapText="1"/>
    </xf>
    <xf borderId="3" fillId="4" fontId="2" numFmtId="0" xfId="0" applyAlignment="1" applyBorder="1" applyFont="1">
      <alignment horizontal="center" shrinkToFit="0" wrapText="1"/>
    </xf>
    <xf borderId="3" fillId="5" fontId="2" numFmtId="0" xfId="0" applyAlignment="1" applyBorder="1" applyFont="1">
      <alignment shrinkToFit="0" wrapText="1"/>
    </xf>
    <xf borderId="3" fillId="5" fontId="17" numFmtId="0" xfId="0" applyAlignment="1" applyBorder="1" applyFont="1">
      <alignment shrinkToFit="0" wrapText="1"/>
    </xf>
    <xf borderId="3" fillId="5" fontId="17" numFmtId="9" xfId="0" applyAlignment="1" applyBorder="1" applyFont="1" applyNumberFormat="1">
      <alignment horizontal="center" shrinkToFit="0" wrapText="1"/>
    </xf>
    <xf borderId="3" fillId="5" fontId="17" numFmtId="164" xfId="0" applyAlignment="1" applyBorder="1" applyFont="1" applyNumberFormat="1">
      <alignment horizontal="center" shrinkToFit="0" wrapText="1"/>
    </xf>
    <xf borderId="3" fillId="5" fontId="2" numFmtId="0" xfId="0" applyAlignment="1" applyBorder="1" applyFont="1">
      <alignment horizontal="left" shrinkToFit="0" vertical="top" wrapText="1"/>
    </xf>
    <xf borderId="3" fillId="2" fontId="2" numFmtId="0" xfId="0" applyAlignment="1" applyBorder="1" applyFont="1">
      <alignment shrinkToFit="0" wrapText="1"/>
    </xf>
    <xf borderId="3" fillId="2" fontId="17" numFmtId="0" xfId="0" applyAlignment="1" applyBorder="1" applyFont="1">
      <alignment shrinkToFit="0" wrapText="1"/>
    </xf>
    <xf borderId="3" fillId="2" fontId="17" numFmtId="9" xfId="0" applyAlignment="1" applyBorder="1" applyFont="1" applyNumberFormat="1">
      <alignment horizontal="center" shrinkToFit="0" wrapText="1"/>
    </xf>
    <xf borderId="3" fillId="2" fontId="17" numFmtId="2" xfId="0" applyAlignment="1" applyBorder="1" applyFont="1" applyNumberFormat="1">
      <alignment horizontal="center" shrinkToFit="0" wrapText="1"/>
    </xf>
    <xf borderId="3" fillId="2" fontId="2" numFmtId="0" xfId="0" applyAlignment="1" applyBorder="1" applyFont="1">
      <alignment horizontal="left" shrinkToFit="0" vertical="top" wrapText="1"/>
    </xf>
    <xf borderId="1" fillId="4" fontId="18" numFmtId="0" xfId="0" applyAlignment="1" applyBorder="1" applyFont="1">
      <alignment horizontal="left" shrinkToFit="0" vertical="top" wrapText="1"/>
    </xf>
    <xf borderId="1" fillId="4" fontId="19" numFmtId="0" xfId="0" applyAlignment="1" applyBorder="1" applyFont="1">
      <alignment horizontal="left" shrinkToFit="0" vertical="top" wrapText="1"/>
    </xf>
    <xf borderId="0" fillId="0" fontId="5" numFmtId="0" xfId="0" applyAlignment="1" applyFont="1">
      <alignment shrinkToFit="0" vertical="center" wrapText="1"/>
    </xf>
    <xf borderId="0" fillId="0" fontId="2" numFmtId="0" xfId="0" applyAlignment="1" applyFont="1">
      <alignment shrinkToFit="0" vertical="center" wrapText="1"/>
    </xf>
    <xf borderId="4" fillId="4" fontId="2" numFmtId="0" xfId="0" applyAlignment="1" applyBorder="1" applyFont="1">
      <alignment horizontal="center" shrinkToFit="0" vertical="center" wrapText="1"/>
    </xf>
    <xf borderId="4" fillId="4" fontId="2" numFmtId="0" xfId="0" applyAlignment="1" applyBorder="1" applyFont="1">
      <alignment horizontal="center" shrinkToFit="0" vertical="top" wrapText="1"/>
    </xf>
    <xf borderId="5" fillId="2" fontId="17" numFmtId="0" xfId="0" applyBorder="1" applyFont="1"/>
    <xf borderId="6" fillId="2" fontId="17" numFmtId="0" xfId="0" applyAlignment="1" applyBorder="1" applyFont="1">
      <alignment horizontal="center" shrinkToFit="0" vertical="center" wrapText="1"/>
    </xf>
    <xf borderId="7" fillId="2" fontId="17" numFmtId="0" xfId="0" applyAlignment="1" applyBorder="1" applyFont="1">
      <alignment horizontal="center" shrinkToFit="0" vertical="top" wrapText="1"/>
    </xf>
    <xf borderId="8" fillId="0" fontId="2" numFmtId="0" xfId="0" applyAlignment="1" applyBorder="1" applyFont="1">
      <alignment shrinkToFit="0" vertical="center" wrapText="1"/>
    </xf>
    <xf borderId="3" fillId="3" fontId="2" numFmtId="9" xfId="0" applyAlignment="1" applyBorder="1" applyFont="1" applyNumberFormat="1">
      <alignment horizontal="center" shrinkToFit="0" vertical="center" wrapText="1"/>
    </xf>
    <xf borderId="9" fillId="0" fontId="2" numFmtId="2" xfId="0" applyAlignment="1" applyBorder="1" applyFont="1" applyNumberFormat="1">
      <alignment horizontal="center" shrinkToFit="0" vertical="top" wrapText="1"/>
    </xf>
    <xf borderId="10" fillId="2" fontId="17" numFmtId="0" xfId="0" applyAlignment="1" applyBorder="1" applyFont="1">
      <alignment shrinkToFit="0" vertical="center" wrapText="1"/>
    </xf>
    <xf borderId="11" fillId="2" fontId="17" numFmtId="9" xfId="0" applyAlignment="1" applyBorder="1" applyFont="1" applyNumberFormat="1">
      <alignment horizontal="center" shrinkToFit="0" vertical="center" wrapText="1"/>
    </xf>
    <xf borderId="12" fillId="2" fontId="17" numFmtId="2" xfId="0" applyAlignment="1" applyBorder="1" applyFont="1" applyNumberFormat="1">
      <alignment horizontal="center" shrinkToFit="0" vertical="top" wrapText="1"/>
    </xf>
    <xf borderId="0" fillId="0" fontId="20" numFmtId="0" xfId="0" applyFont="1"/>
    <xf borderId="13" fillId="3" fontId="21" numFmtId="0" xfId="0" applyAlignment="1" applyBorder="1" applyFont="1">
      <alignment shrinkToFit="0" vertical="center" wrapText="1"/>
    </xf>
    <xf borderId="14" fillId="3" fontId="16" numFmtId="0" xfId="0" applyAlignment="1" applyBorder="1" applyFont="1">
      <alignment shrinkToFit="0" vertical="top" wrapText="1"/>
    </xf>
    <xf borderId="15" fillId="0" fontId="11" numFmtId="0" xfId="0" applyBorder="1" applyFont="1"/>
    <xf borderId="16" fillId="0" fontId="11" numFmtId="0" xfId="0" applyBorder="1" applyFont="1"/>
    <xf borderId="13" fillId="6" fontId="21" numFmtId="0" xfId="0" applyAlignment="1" applyBorder="1" applyFill="1" applyFont="1">
      <alignment shrinkToFit="0" vertical="center" wrapText="1"/>
    </xf>
    <xf borderId="14" fillId="6" fontId="16" numFmtId="0" xfId="0" applyAlignment="1" applyBorder="1" applyFont="1">
      <alignment shrinkToFit="0" vertical="top" wrapText="1"/>
    </xf>
    <xf borderId="0" fillId="0" fontId="16" numFmtId="0" xfId="0" applyAlignment="1" applyFont="1">
      <alignment shrinkToFit="0" vertical="top" wrapText="1"/>
    </xf>
    <xf borderId="0" fillId="0" fontId="22" numFmtId="0" xfId="0" applyFont="1"/>
    <xf borderId="13" fillId="7" fontId="21" numFmtId="0" xfId="0" applyAlignment="1" applyBorder="1" applyFill="1" applyFont="1">
      <alignment shrinkToFit="0" vertical="center" wrapText="1"/>
    </xf>
    <xf borderId="14" fillId="7" fontId="16" numFmtId="0" xfId="0" applyBorder="1" applyFont="1"/>
    <xf borderId="14" fillId="7" fontId="16" numFmtId="0" xfId="0" applyAlignment="1" applyBorder="1" applyFont="1">
      <alignment shrinkToFit="0" vertical="top" wrapText="1"/>
    </xf>
    <xf borderId="13" fillId="8" fontId="21" numFmtId="0" xfId="0" applyAlignment="1" applyBorder="1" applyFill="1" applyFont="1">
      <alignment shrinkToFit="0" vertical="center" wrapText="1"/>
    </xf>
    <xf borderId="14" fillId="8" fontId="16" numFmtId="0" xfId="0" applyAlignment="1" applyBorder="1" applyFont="1">
      <alignment shrinkToFit="0" vertical="top" wrapText="1"/>
    </xf>
    <xf borderId="13" fillId="9" fontId="21" numFmtId="0" xfId="0" applyAlignment="1" applyBorder="1" applyFill="1" applyFont="1">
      <alignment shrinkToFit="0" vertical="center" wrapText="1"/>
    </xf>
    <xf borderId="14" fillId="9" fontId="16" numFmtId="0" xfId="0" applyAlignment="1" applyBorder="1" applyFont="1">
      <alignment shrinkToFit="0" vertical="top" wrapText="1"/>
    </xf>
    <xf borderId="17" fillId="9" fontId="1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895350" cy="4667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857250" cy="4476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4" max="4" width="27.0"/>
    <col customWidth="1" min="5" max="5" width="51.25"/>
    <col customWidth="1" min="7" max="7" width="57.25"/>
    <col customWidth="1" min="12" max="12" width="0.38"/>
  </cols>
  <sheetData>
    <row r="1" ht="36.75" customHeight="1">
      <c r="A1" s="1" t="s">
        <v>0</v>
      </c>
      <c r="E1" s="2"/>
      <c r="F1" s="3"/>
      <c r="G1" s="4"/>
      <c r="H1" s="4"/>
      <c r="I1" s="4"/>
      <c r="J1" s="4"/>
      <c r="K1" s="4"/>
      <c r="L1" s="4"/>
      <c r="M1" s="4"/>
      <c r="N1" s="4"/>
      <c r="O1" s="4"/>
      <c r="P1" s="4"/>
      <c r="Q1" s="4"/>
      <c r="R1" s="4"/>
      <c r="S1" s="4"/>
      <c r="T1" s="4"/>
      <c r="U1" s="4"/>
      <c r="V1" s="4"/>
      <c r="W1" s="4"/>
      <c r="X1" s="4"/>
      <c r="Y1" s="4"/>
      <c r="Z1" s="4"/>
    </row>
    <row r="2" ht="15.75" customHeight="1">
      <c r="A2" s="5"/>
      <c r="C2" s="6"/>
      <c r="D2" s="6"/>
      <c r="F2" s="3"/>
      <c r="G2" s="7" t="s">
        <v>1</v>
      </c>
      <c r="H2" s="4"/>
      <c r="I2" s="4"/>
      <c r="J2" s="4"/>
      <c r="K2" s="4"/>
      <c r="L2" s="4"/>
      <c r="M2" s="4"/>
      <c r="N2" s="4"/>
      <c r="O2" s="4"/>
      <c r="P2" s="4"/>
      <c r="Q2" s="4"/>
      <c r="R2" s="4"/>
      <c r="S2" s="4"/>
      <c r="T2" s="4"/>
      <c r="U2" s="4"/>
      <c r="V2" s="4"/>
      <c r="W2" s="4"/>
      <c r="X2" s="4"/>
      <c r="Y2" s="4"/>
      <c r="Z2" s="4"/>
    </row>
    <row r="3" ht="18.75" customHeight="1">
      <c r="A3" s="8"/>
      <c r="C3" s="6"/>
      <c r="D3" s="6"/>
      <c r="F3" s="3"/>
      <c r="G3" s="4"/>
      <c r="H3" s="4"/>
      <c r="I3" s="4"/>
      <c r="J3" s="4"/>
      <c r="K3" s="4"/>
      <c r="L3" s="4"/>
      <c r="M3" s="4"/>
      <c r="N3" s="4"/>
      <c r="O3" s="4"/>
      <c r="P3" s="4"/>
      <c r="Q3" s="4"/>
      <c r="R3" s="4"/>
      <c r="S3" s="4"/>
      <c r="T3" s="4"/>
      <c r="U3" s="4"/>
      <c r="V3" s="4"/>
      <c r="W3" s="4"/>
      <c r="X3" s="4"/>
      <c r="Y3" s="4"/>
      <c r="Z3" s="4"/>
    </row>
    <row r="4" ht="15.75" customHeight="1">
      <c r="A4" s="8"/>
      <c r="C4" s="6"/>
      <c r="D4" s="6"/>
      <c r="F4" s="9"/>
      <c r="G4" s="9"/>
      <c r="M4" s="9"/>
      <c r="N4" s="9"/>
      <c r="U4" s="4"/>
      <c r="V4" s="4"/>
      <c r="W4" s="4"/>
      <c r="X4" s="4"/>
      <c r="Y4" s="4"/>
      <c r="Z4" s="4"/>
    </row>
    <row r="5" ht="17.25" customHeight="1">
      <c r="A5" s="8"/>
      <c r="C5" s="6"/>
      <c r="D5" s="6"/>
      <c r="M5" s="9"/>
      <c r="N5" s="9"/>
      <c r="U5" s="4"/>
      <c r="V5" s="4"/>
      <c r="W5" s="4"/>
      <c r="X5" s="4"/>
      <c r="Y5" s="4"/>
      <c r="Z5" s="4"/>
    </row>
    <row r="6" ht="15.75" customHeight="1">
      <c r="M6" s="9"/>
      <c r="N6" s="9"/>
      <c r="U6" s="4"/>
      <c r="V6" s="4"/>
      <c r="W6" s="4"/>
      <c r="X6" s="4"/>
      <c r="Y6" s="4"/>
      <c r="Z6" s="4"/>
    </row>
    <row r="7" ht="384.0" customHeight="1">
      <c r="A7" s="10" t="s">
        <v>2</v>
      </c>
      <c r="G7" s="4"/>
      <c r="H7" s="4"/>
      <c r="I7" s="4"/>
      <c r="J7" s="4"/>
      <c r="K7" s="4"/>
      <c r="L7" s="4"/>
      <c r="M7" s="4"/>
      <c r="N7" s="4"/>
      <c r="O7" s="4"/>
      <c r="P7" s="4"/>
      <c r="Q7" s="4"/>
      <c r="R7" s="4"/>
      <c r="S7" s="4"/>
      <c r="T7" s="4"/>
      <c r="U7" s="4"/>
      <c r="V7" s="4"/>
      <c r="W7" s="4"/>
      <c r="X7" s="4"/>
      <c r="Y7" s="4"/>
      <c r="Z7" s="4"/>
    </row>
    <row r="8" ht="15.75" customHeight="1">
      <c r="A8" s="4"/>
      <c r="G8" s="4"/>
      <c r="H8" s="4"/>
      <c r="I8" s="4"/>
      <c r="J8" s="4"/>
      <c r="K8" s="4"/>
      <c r="L8" s="4"/>
      <c r="M8" s="4"/>
      <c r="N8" s="4"/>
      <c r="O8" s="4"/>
      <c r="P8" s="4"/>
      <c r="Q8" s="4"/>
      <c r="R8" s="4"/>
      <c r="S8" s="4"/>
      <c r="T8" s="4"/>
      <c r="U8" s="4"/>
      <c r="V8" s="4"/>
      <c r="W8" s="4"/>
      <c r="X8" s="4"/>
      <c r="Y8" s="4"/>
      <c r="Z8" s="4"/>
    </row>
    <row r="9" ht="15.75" customHeight="1">
      <c r="A9" s="11" t="s">
        <v>3</v>
      </c>
      <c r="G9" s="4"/>
      <c r="H9" s="4"/>
      <c r="I9" s="4"/>
      <c r="J9" s="4"/>
      <c r="K9" s="4"/>
      <c r="L9" s="4"/>
      <c r="M9" s="4"/>
      <c r="N9" s="4"/>
      <c r="O9" s="4"/>
      <c r="P9" s="4"/>
      <c r="Q9" s="4"/>
      <c r="R9" s="4"/>
      <c r="S9" s="4"/>
      <c r="T9" s="4"/>
      <c r="U9" s="4"/>
      <c r="V9" s="4"/>
      <c r="W9" s="4"/>
      <c r="X9" s="4"/>
      <c r="Y9" s="4"/>
      <c r="Z9" s="4"/>
    </row>
    <row r="10" ht="38.25" customHeight="1">
      <c r="A10" s="4" t="s">
        <v>4</v>
      </c>
      <c r="G10" s="4"/>
      <c r="H10" s="4"/>
      <c r="I10" s="4"/>
      <c r="J10" s="4"/>
      <c r="K10" s="4"/>
      <c r="L10" s="4"/>
      <c r="M10" s="4"/>
      <c r="N10" s="4"/>
      <c r="O10" s="4"/>
      <c r="P10" s="4"/>
      <c r="Q10" s="4"/>
      <c r="R10" s="4"/>
      <c r="S10" s="4"/>
      <c r="T10" s="4"/>
      <c r="U10" s="4"/>
      <c r="V10" s="4"/>
      <c r="W10" s="4"/>
      <c r="X10" s="4"/>
      <c r="Y10" s="4"/>
      <c r="Z10" s="4"/>
    </row>
    <row r="11" ht="15.75" customHeight="1">
      <c r="A11" s="4" t="s">
        <v>5</v>
      </c>
      <c r="G11" s="4"/>
      <c r="H11" s="4"/>
      <c r="I11" s="4"/>
      <c r="J11" s="4"/>
      <c r="K11" s="4"/>
      <c r="L11" s="4"/>
      <c r="M11" s="4"/>
      <c r="N11" s="4"/>
      <c r="O11" s="4"/>
      <c r="P11" s="4"/>
      <c r="Q11" s="4"/>
      <c r="R11" s="4"/>
      <c r="S11" s="4"/>
      <c r="T11" s="4"/>
      <c r="U11" s="4"/>
      <c r="V11" s="4"/>
      <c r="W11" s="4"/>
      <c r="X11" s="4"/>
      <c r="Y11" s="4"/>
      <c r="Z11" s="4"/>
    </row>
    <row r="12" ht="15.75" customHeight="1">
      <c r="G12" s="4"/>
      <c r="H12" s="4"/>
      <c r="I12" s="4"/>
      <c r="J12" s="4"/>
      <c r="K12" s="4"/>
      <c r="L12" s="4"/>
      <c r="M12" s="4"/>
      <c r="N12" s="4"/>
      <c r="O12" s="4"/>
      <c r="P12" s="4"/>
      <c r="Q12" s="4"/>
      <c r="R12" s="4"/>
      <c r="S12" s="4"/>
      <c r="T12" s="4"/>
      <c r="U12" s="4"/>
      <c r="V12" s="4"/>
      <c r="W12" s="4"/>
      <c r="X12" s="4"/>
      <c r="Y12" s="4"/>
      <c r="Z12" s="4"/>
    </row>
    <row r="13" ht="15.75" customHeight="1">
      <c r="G13" s="4"/>
      <c r="H13" s="4"/>
      <c r="I13" s="4"/>
      <c r="J13" s="4"/>
      <c r="K13" s="4"/>
      <c r="L13" s="4"/>
      <c r="M13" s="4"/>
      <c r="N13" s="4"/>
      <c r="O13" s="4"/>
      <c r="P13" s="4"/>
      <c r="Q13" s="4"/>
      <c r="R13" s="4"/>
      <c r="S13" s="4"/>
      <c r="T13" s="4"/>
      <c r="U13" s="4"/>
      <c r="V13" s="4"/>
      <c r="W13" s="4"/>
      <c r="X13" s="4"/>
      <c r="Y13" s="4"/>
      <c r="Z13" s="4"/>
    </row>
    <row r="14" ht="15.75" customHeight="1">
      <c r="G14" s="4"/>
      <c r="H14" s="4"/>
      <c r="I14" s="4"/>
      <c r="J14" s="4"/>
      <c r="K14" s="4"/>
      <c r="L14" s="4"/>
      <c r="M14" s="4"/>
      <c r="N14" s="4"/>
      <c r="O14" s="4"/>
      <c r="P14" s="4"/>
      <c r="Q14" s="4"/>
      <c r="R14" s="4"/>
      <c r="S14" s="4"/>
      <c r="T14" s="4"/>
      <c r="U14" s="4"/>
      <c r="V14" s="4"/>
      <c r="W14" s="4"/>
      <c r="X14" s="4"/>
      <c r="Y14" s="4"/>
      <c r="Z14" s="4"/>
    </row>
    <row r="15">
      <c r="G15" s="4"/>
      <c r="H15" s="4"/>
      <c r="I15" s="4"/>
      <c r="J15" s="4"/>
      <c r="K15" s="4"/>
      <c r="L15" s="4"/>
      <c r="M15" s="4"/>
      <c r="N15" s="4"/>
      <c r="O15" s="4"/>
      <c r="P15" s="4"/>
      <c r="Q15" s="4"/>
      <c r="R15" s="4"/>
      <c r="S15" s="4"/>
      <c r="T15" s="4"/>
      <c r="U15" s="4"/>
      <c r="V15" s="4"/>
      <c r="W15" s="4"/>
      <c r="X15" s="4"/>
      <c r="Y15" s="4"/>
      <c r="Z15" s="4"/>
    </row>
    <row r="16" ht="15.75" customHeight="1">
      <c r="A16" s="9"/>
      <c r="B16" s="9"/>
      <c r="C16" s="9"/>
      <c r="D16" s="9"/>
      <c r="E16" s="9"/>
      <c r="F16" s="9"/>
      <c r="G16" s="4"/>
      <c r="H16" s="4"/>
      <c r="I16" s="4"/>
      <c r="J16" s="4"/>
      <c r="K16" s="4"/>
      <c r="L16" s="4"/>
      <c r="M16" s="4"/>
      <c r="N16" s="4"/>
      <c r="O16" s="4"/>
      <c r="P16" s="4"/>
      <c r="Q16" s="4"/>
      <c r="R16" s="4"/>
      <c r="S16" s="4"/>
      <c r="T16" s="4"/>
      <c r="U16" s="4"/>
      <c r="V16" s="4"/>
      <c r="W16" s="4"/>
      <c r="X16" s="4"/>
      <c r="Y16" s="4"/>
      <c r="Z16" s="4"/>
    </row>
    <row r="17" ht="15.75" customHeight="1">
      <c r="A17" s="12" t="s">
        <v>6</v>
      </c>
      <c r="G17" s="4"/>
      <c r="H17" s="4"/>
      <c r="I17" s="4"/>
      <c r="J17" s="4"/>
      <c r="K17" s="4"/>
      <c r="L17" s="4"/>
      <c r="M17" s="4"/>
      <c r="N17" s="4"/>
      <c r="O17" s="4"/>
      <c r="P17" s="4"/>
      <c r="Q17" s="4"/>
      <c r="R17" s="4"/>
      <c r="S17" s="4"/>
      <c r="T17" s="4"/>
      <c r="U17" s="4"/>
      <c r="V17" s="4"/>
      <c r="W17" s="4"/>
      <c r="X17" s="4"/>
      <c r="Y17" s="4"/>
      <c r="Z17" s="4"/>
    </row>
    <row r="18" ht="15.75" customHeight="1">
      <c r="G18" s="4"/>
      <c r="H18" s="4"/>
      <c r="I18" s="4"/>
      <c r="J18" s="4"/>
      <c r="K18" s="4"/>
      <c r="L18" s="4"/>
      <c r="M18" s="4"/>
      <c r="N18" s="4"/>
      <c r="O18" s="4"/>
      <c r="P18" s="4"/>
      <c r="Q18" s="4"/>
      <c r="R18" s="4"/>
      <c r="S18" s="4"/>
      <c r="T18" s="4"/>
      <c r="U18" s="4"/>
      <c r="V18" s="4"/>
      <c r="W18" s="4"/>
      <c r="X18" s="4"/>
      <c r="Y18" s="4"/>
      <c r="Z18" s="4"/>
    </row>
    <row r="19" ht="15.75" customHeight="1">
      <c r="G19" s="4"/>
      <c r="H19" s="4"/>
      <c r="I19" s="4"/>
      <c r="J19" s="4"/>
      <c r="K19" s="4"/>
      <c r="L19" s="4"/>
      <c r="M19" s="4"/>
      <c r="N19" s="4"/>
      <c r="O19" s="4"/>
      <c r="P19" s="4"/>
      <c r="Q19" s="4"/>
      <c r="R19" s="4"/>
      <c r="S19" s="4"/>
      <c r="T19" s="4"/>
      <c r="U19" s="4"/>
      <c r="V19" s="4"/>
      <c r="W19" s="4"/>
      <c r="X19" s="4"/>
      <c r="Y19" s="4"/>
      <c r="Z19" s="4"/>
    </row>
    <row r="20" ht="15.75" customHeight="1">
      <c r="G20" s="4"/>
      <c r="H20" s="4"/>
      <c r="I20" s="4"/>
      <c r="J20" s="4"/>
      <c r="K20" s="4"/>
      <c r="L20" s="4"/>
      <c r="M20" s="4"/>
      <c r="N20" s="4"/>
      <c r="O20" s="4"/>
      <c r="P20" s="4"/>
      <c r="Q20" s="4"/>
      <c r="R20" s="4"/>
      <c r="S20" s="4"/>
      <c r="T20" s="4"/>
      <c r="U20" s="4"/>
      <c r="V20" s="4"/>
      <c r="W20" s="4"/>
      <c r="X20" s="4"/>
      <c r="Y20" s="4"/>
      <c r="Z20" s="4"/>
    </row>
    <row r="21" ht="549.75" customHeight="1">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7:F7"/>
    <mergeCell ref="A8:F8"/>
    <mergeCell ref="A9:F9"/>
    <mergeCell ref="A10:F10"/>
    <mergeCell ref="A11:F15"/>
    <mergeCell ref="A17:F21"/>
    <mergeCell ref="A1:D1"/>
    <mergeCell ref="E1:E5"/>
    <mergeCell ref="A2:B2"/>
    <mergeCell ref="A3:B3"/>
    <mergeCell ref="A4:B4"/>
    <mergeCell ref="G4:L6"/>
    <mergeCell ref="A5:B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19.88"/>
    <col customWidth="1" min="3" max="3" width="12.5"/>
    <col customWidth="1" min="4" max="4" width="13.5"/>
    <col customWidth="1" min="5" max="5" width="75.63"/>
    <col customWidth="1" min="6" max="6" width="49.38"/>
    <col customWidth="1" min="7" max="7" width="68.88"/>
  </cols>
  <sheetData>
    <row r="1" ht="35.25" customHeight="1">
      <c r="A1" s="1" t="s">
        <v>7</v>
      </c>
      <c r="E1" s="2"/>
      <c r="F1" s="13"/>
      <c r="G1" s="13"/>
      <c r="H1" s="5"/>
      <c r="I1" s="5"/>
      <c r="J1" s="5"/>
      <c r="K1" s="5"/>
      <c r="L1" s="5"/>
      <c r="M1" s="5"/>
      <c r="N1" s="5"/>
      <c r="O1" s="5"/>
      <c r="P1" s="5"/>
      <c r="Q1" s="5"/>
      <c r="R1" s="5"/>
      <c r="S1" s="5"/>
      <c r="T1" s="5"/>
      <c r="U1" s="5"/>
      <c r="V1" s="5"/>
      <c r="W1" s="14"/>
      <c r="X1" s="14"/>
      <c r="Y1" s="14"/>
      <c r="Z1" s="14"/>
    </row>
    <row r="2" ht="15.75" customHeight="1">
      <c r="A2" s="5"/>
      <c r="C2" s="6"/>
      <c r="D2" s="6"/>
      <c r="F2" s="13"/>
      <c r="G2" s="13"/>
      <c r="H2" s="5"/>
      <c r="I2" s="5"/>
      <c r="J2" s="5"/>
      <c r="K2" s="5"/>
      <c r="L2" s="5"/>
      <c r="M2" s="5"/>
      <c r="N2" s="5"/>
      <c r="O2" s="5"/>
      <c r="P2" s="5"/>
      <c r="Q2" s="5"/>
      <c r="R2" s="5"/>
      <c r="S2" s="5"/>
      <c r="T2" s="5"/>
      <c r="U2" s="5"/>
      <c r="V2" s="5"/>
      <c r="W2" s="14"/>
      <c r="X2" s="14"/>
      <c r="Y2" s="14"/>
      <c r="Z2" s="14"/>
    </row>
    <row r="3" ht="15.75" customHeight="1">
      <c r="A3" s="15" t="s">
        <v>8</v>
      </c>
      <c r="C3" s="6"/>
      <c r="D3" s="6"/>
      <c r="F3" s="13"/>
      <c r="G3" s="13"/>
      <c r="H3" s="5"/>
      <c r="I3" s="5"/>
      <c r="J3" s="5"/>
      <c r="K3" s="5"/>
      <c r="L3" s="5"/>
      <c r="M3" s="5"/>
      <c r="N3" s="5"/>
      <c r="O3" s="5"/>
      <c r="P3" s="5"/>
      <c r="Q3" s="5"/>
      <c r="R3" s="5"/>
      <c r="S3" s="5"/>
      <c r="T3" s="5"/>
      <c r="U3" s="5"/>
      <c r="V3" s="5"/>
      <c r="W3" s="14"/>
      <c r="X3" s="14"/>
      <c r="Y3" s="14"/>
      <c r="Z3" s="14"/>
    </row>
    <row r="4" ht="15.75" customHeight="1">
      <c r="A4" s="15" t="s">
        <v>9</v>
      </c>
      <c r="C4" s="6"/>
      <c r="D4" s="6"/>
      <c r="F4" s="13"/>
      <c r="G4" s="13"/>
      <c r="H4" s="5"/>
      <c r="I4" s="5"/>
      <c r="J4" s="5"/>
      <c r="K4" s="5"/>
      <c r="L4" s="5"/>
      <c r="M4" s="5"/>
      <c r="N4" s="5"/>
      <c r="O4" s="5"/>
      <c r="P4" s="5"/>
      <c r="Q4" s="5"/>
      <c r="R4" s="5"/>
      <c r="S4" s="5"/>
      <c r="T4" s="5"/>
      <c r="U4" s="5"/>
      <c r="V4" s="5"/>
      <c r="W4" s="14"/>
      <c r="X4" s="14"/>
      <c r="Y4" s="14"/>
      <c r="Z4" s="14"/>
    </row>
    <row r="5" ht="15.75" customHeight="1">
      <c r="A5" s="15" t="s">
        <v>10</v>
      </c>
      <c r="C5" s="6"/>
      <c r="D5" s="6"/>
      <c r="F5" s="13"/>
      <c r="G5" s="13"/>
      <c r="H5" s="5"/>
      <c r="I5" s="5"/>
      <c r="J5" s="5"/>
      <c r="K5" s="5"/>
      <c r="L5" s="5"/>
      <c r="M5" s="5"/>
      <c r="N5" s="5"/>
      <c r="O5" s="5"/>
      <c r="P5" s="5"/>
      <c r="Q5" s="5"/>
      <c r="R5" s="5"/>
      <c r="S5" s="5"/>
      <c r="T5" s="5"/>
      <c r="U5" s="5"/>
      <c r="V5" s="5"/>
      <c r="W5" s="14"/>
      <c r="X5" s="14"/>
      <c r="Y5" s="14"/>
      <c r="Z5" s="14"/>
    </row>
    <row r="6" ht="15.75" customHeight="1">
      <c r="A6" s="16"/>
      <c r="C6" s="6"/>
      <c r="D6" s="6"/>
      <c r="E6" s="13"/>
      <c r="F6" s="13"/>
      <c r="G6" s="13"/>
      <c r="H6" s="5"/>
      <c r="I6" s="5"/>
      <c r="J6" s="5"/>
      <c r="K6" s="5"/>
      <c r="L6" s="5"/>
      <c r="M6" s="5"/>
      <c r="N6" s="5"/>
      <c r="O6" s="5"/>
      <c r="P6" s="5"/>
      <c r="Q6" s="5"/>
      <c r="R6" s="5"/>
      <c r="S6" s="5"/>
      <c r="T6" s="5"/>
      <c r="U6" s="5"/>
      <c r="V6" s="5"/>
      <c r="W6" s="14"/>
      <c r="X6" s="14"/>
      <c r="Y6" s="14"/>
      <c r="Z6" s="14"/>
    </row>
    <row r="7" ht="15.75" customHeight="1">
      <c r="A7" s="5"/>
      <c r="C7" s="6"/>
      <c r="D7" s="5"/>
      <c r="E7" s="5"/>
      <c r="F7" s="5"/>
      <c r="G7" s="5"/>
      <c r="H7" s="5"/>
      <c r="I7" s="5"/>
      <c r="J7" s="5"/>
      <c r="K7" s="5"/>
      <c r="L7" s="5"/>
      <c r="M7" s="5"/>
      <c r="N7" s="5"/>
      <c r="O7" s="5"/>
      <c r="P7" s="5"/>
      <c r="Q7" s="5"/>
      <c r="R7" s="5"/>
      <c r="S7" s="5"/>
      <c r="T7" s="5"/>
      <c r="U7" s="5"/>
      <c r="V7" s="5"/>
      <c r="W7" s="14"/>
      <c r="X7" s="14"/>
      <c r="Y7" s="14"/>
      <c r="Z7" s="14"/>
    </row>
    <row r="8" ht="15.75" customHeight="1">
      <c r="A8" s="17" t="s">
        <v>11</v>
      </c>
      <c r="B8" s="18"/>
      <c r="C8" s="18"/>
      <c r="D8" s="19" t="s">
        <v>12</v>
      </c>
      <c r="E8" s="20" t="s">
        <v>13</v>
      </c>
      <c r="F8" s="20" t="s">
        <v>14</v>
      </c>
      <c r="G8" s="20" t="s">
        <v>15</v>
      </c>
      <c r="H8" s="5"/>
      <c r="I8" s="5"/>
      <c r="J8" s="5"/>
      <c r="K8" s="5"/>
      <c r="L8" s="5"/>
      <c r="M8" s="5"/>
      <c r="N8" s="5"/>
      <c r="O8" s="5"/>
      <c r="P8" s="5"/>
      <c r="Q8" s="5"/>
      <c r="R8" s="5"/>
      <c r="S8" s="5"/>
      <c r="T8" s="5"/>
      <c r="U8" s="5"/>
      <c r="V8" s="5"/>
      <c r="W8" s="14"/>
      <c r="X8" s="14"/>
      <c r="Y8" s="14"/>
      <c r="Z8" s="14"/>
    </row>
    <row r="9" ht="139.5" customHeight="1">
      <c r="A9" s="21" t="s">
        <v>16</v>
      </c>
      <c r="B9" s="22" t="s">
        <v>17</v>
      </c>
      <c r="C9" s="23">
        <v>0.35</v>
      </c>
      <c r="D9" s="24">
        <v>1.0</v>
      </c>
      <c r="E9" s="25" t="s">
        <v>18</v>
      </c>
      <c r="F9" s="25" t="s">
        <v>19</v>
      </c>
      <c r="G9" s="25" t="s">
        <v>20</v>
      </c>
      <c r="H9" s="5"/>
      <c r="I9" s="5"/>
      <c r="J9" s="5"/>
      <c r="K9" s="5"/>
      <c r="L9" s="5"/>
      <c r="M9" s="5"/>
      <c r="N9" s="5"/>
      <c r="O9" s="5"/>
      <c r="P9" s="5"/>
      <c r="Q9" s="5"/>
      <c r="R9" s="5"/>
      <c r="S9" s="5"/>
      <c r="T9" s="5"/>
      <c r="U9" s="5"/>
      <c r="V9" s="5"/>
      <c r="W9" s="14"/>
      <c r="X9" s="14"/>
      <c r="Y9" s="14"/>
      <c r="Z9" s="14"/>
    </row>
    <row r="10" ht="141.75" customHeight="1">
      <c r="A10" s="21" t="s">
        <v>21</v>
      </c>
      <c r="B10" s="26" t="s">
        <v>22</v>
      </c>
      <c r="C10" s="23">
        <v>0.3</v>
      </c>
      <c r="D10" s="24">
        <v>1.0</v>
      </c>
      <c r="E10" s="25" t="s">
        <v>23</v>
      </c>
      <c r="F10" s="27" t="s">
        <v>24</v>
      </c>
      <c r="G10" s="27" t="s">
        <v>25</v>
      </c>
      <c r="H10" s="5"/>
      <c r="I10" s="5"/>
      <c r="J10" s="5"/>
      <c r="K10" s="5"/>
      <c r="L10" s="5"/>
      <c r="M10" s="5"/>
      <c r="N10" s="5"/>
      <c r="O10" s="5"/>
      <c r="P10" s="5"/>
      <c r="Q10" s="5"/>
      <c r="R10" s="5"/>
      <c r="S10" s="5"/>
      <c r="T10" s="5"/>
      <c r="U10" s="5"/>
      <c r="V10" s="5"/>
      <c r="W10" s="14"/>
      <c r="X10" s="14"/>
      <c r="Y10" s="14"/>
      <c r="Z10" s="14"/>
    </row>
    <row r="11" ht="117.75" customHeight="1">
      <c r="A11" s="21" t="s">
        <v>26</v>
      </c>
      <c r="B11" s="26" t="s">
        <v>27</v>
      </c>
      <c r="C11" s="23">
        <v>0.2</v>
      </c>
      <c r="D11" s="24">
        <v>1.0</v>
      </c>
      <c r="E11" s="28" t="s">
        <v>28</v>
      </c>
      <c r="F11" s="29" t="s">
        <v>29</v>
      </c>
      <c r="G11" s="29" t="s">
        <v>30</v>
      </c>
      <c r="H11" s="5"/>
      <c r="I11" s="5"/>
      <c r="J11" s="5"/>
      <c r="K11" s="5"/>
      <c r="L11" s="5"/>
      <c r="M11" s="5"/>
      <c r="N11" s="5"/>
      <c r="O11" s="5"/>
      <c r="P11" s="5"/>
      <c r="Q11" s="5"/>
      <c r="R11" s="5"/>
      <c r="S11" s="5"/>
      <c r="T11" s="5"/>
      <c r="U11" s="5"/>
      <c r="V11" s="5"/>
      <c r="W11" s="14"/>
      <c r="X11" s="14"/>
      <c r="Y11" s="14"/>
      <c r="Z11" s="14"/>
    </row>
    <row r="12" ht="150.0" customHeight="1">
      <c r="A12" s="21" t="s">
        <v>31</v>
      </c>
      <c r="B12" s="26" t="s">
        <v>32</v>
      </c>
      <c r="C12" s="23">
        <v>0.15</v>
      </c>
      <c r="D12" s="24">
        <v>1.0</v>
      </c>
      <c r="E12" s="25" t="s">
        <v>33</v>
      </c>
      <c r="F12" s="27" t="s">
        <v>34</v>
      </c>
      <c r="G12" s="27" t="s">
        <v>35</v>
      </c>
      <c r="H12" s="5"/>
      <c r="I12" s="5"/>
      <c r="J12" s="5"/>
      <c r="K12" s="5"/>
      <c r="L12" s="5"/>
      <c r="M12" s="5"/>
      <c r="N12" s="5"/>
      <c r="O12" s="5"/>
      <c r="P12" s="5"/>
      <c r="Q12" s="5"/>
      <c r="R12" s="5"/>
      <c r="S12" s="5"/>
      <c r="T12" s="5"/>
      <c r="U12" s="5"/>
      <c r="V12" s="5"/>
      <c r="W12" s="14"/>
      <c r="X12" s="14"/>
      <c r="Y12" s="14"/>
      <c r="Z12" s="14"/>
    </row>
    <row r="13" ht="15.75" customHeight="1">
      <c r="A13" s="15"/>
      <c r="C13" s="30">
        <f>SUM(C9:C12)</f>
        <v>1</v>
      </c>
      <c r="D13" s="31"/>
      <c r="E13" s="25"/>
      <c r="F13" s="25"/>
      <c r="G13" s="25"/>
      <c r="H13" s="5"/>
      <c r="I13" s="5"/>
      <c r="J13" s="5"/>
      <c r="K13" s="5"/>
      <c r="L13" s="5"/>
      <c r="M13" s="5"/>
      <c r="N13" s="5"/>
      <c r="O13" s="5"/>
      <c r="P13" s="5"/>
      <c r="Q13" s="5"/>
      <c r="R13" s="5"/>
      <c r="S13" s="5"/>
      <c r="T13" s="5"/>
      <c r="U13" s="5"/>
      <c r="V13" s="5"/>
      <c r="W13" s="14"/>
      <c r="X13" s="14"/>
      <c r="Y13" s="14"/>
      <c r="Z13" s="14"/>
    </row>
    <row r="14" ht="15.75" customHeight="1">
      <c r="A14" s="32"/>
      <c r="B14" s="33" t="s">
        <v>36</v>
      </c>
      <c r="C14" s="34">
        <v>0.3</v>
      </c>
      <c r="D14" s="35">
        <f>SUMPRODUCT(D9:D12,C9:C12)</f>
        <v>1</v>
      </c>
      <c r="E14" s="36"/>
      <c r="F14" s="36"/>
      <c r="G14" s="36"/>
      <c r="H14" s="5"/>
      <c r="I14" s="5"/>
      <c r="J14" s="5"/>
      <c r="K14" s="5"/>
      <c r="L14" s="5"/>
      <c r="M14" s="5"/>
      <c r="N14" s="5"/>
      <c r="O14" s="5"/>
      <c r="P14" s="5"/>
      <c r="Q14" s="5"/>
      <c r="R14" s="5"/>
      <c r="S14" s="5"/>
      <c r="T14" s="5"/>
      <c r="U14" s="5"/>
      <c r="V14" s="5"/>
      <c r="W14" s="14"/>
      <c r="X14" s="14"/>
      <c r="Y14" s="14"/>
      <c r="Z14" s="14"/>
    </row>
    <row r="15" ht="15.75" customHeight="1">
      <c r="A15" s="15"/>
      <c r="C15" s="31"/>
      <c r="D15" s="31"/>
      <c r="E15" s="25"/>
      <c r="F15" s="25"/>
      <c r="G15" s="25"/>
      <c r="H15" s="5"/>
      <c r="I15" s="5"/>
      <c r="J15" s="5"/>
      <c r="K15" s="5"/>
      <c r="L15" s="5"/>
      <c r="M15" s="5"/>
      <c r="N15" s="5"/>
      <c r="O15" s="5"/>
      <c r="P15" s="5"/>
      <c r="Q15" s="5"/>
      <c r="R15" s="5"/>
      <c r="S15" s="5"/>
      <c r="T15" s="5"/>
      <c r="U15" s="5"/>
      <c r="V15" s="5"/>
      <c r="W15" s="14"/>
      <c r="X15" s="14"/>
      <c r="Y15" s="14"/>
      <c r="Z15" s="14"/>
    </row>
    <row r="16" ht="15.75" customHeight="1">
      <c r="A16" s="17" t="s">
        <v>37</v>
      </c>
      <c r="B16" s="18"/>
      <c r="C16" s="18"/>
      <c r="D16" s="19" t="s">
        <v>12</v>
      </c>
      <c r="E16" s="20" t="s">
        <v>13</v>
      </c>
      <c r="F16" s="20" t="s">
        <v>14</v>
      </c>
      <c r="G16" s="20" t="s">
        <v>15</v>
      </c>
      <c r="H16" s="5"/>
      <c r="I16" s="5"/>
      <c r="J16" s="5"/>
      <c r="K16" s="5"/>
      <c r="L16" s="5"/>
      <c r="M16" s="5"/>
      <c r="N16" s="5"/>
      <c r="O16" s="5"/>
      <c r="P16" s="5"/>
      <c r="Q16" s="5"/>
      <c r="R16" s="5"/>
      <c r="S16" s="5"/>
      <c r="T16" s="5"/>
      <c r="U16" s="5"/>
      <c r="V16" s="5"/>
      <c r="W16" s="14"/>
      <c r="X16" s="14"/>
      <c r="Y16" s="14"/>
      <c r="Z16" s="14"/>
    </row>
    <row r="17" ht="198.75" customHeight="1">
      <c r="A17" s="21" t="s">
        <v>38</v>
      </c>
      <c r="B17" s="21" t="s">
        <v>39</v>
      </c>
      <c r="C17" s="23">
        <v>0.3</v>
      </c>
      <c r="D17" s="24">
        <v>1.0</v>
      </c>
      <c r="E17" s="29" t="s">
        <v>40</v>
      </c>
      <c r="F17" s="25" t="s">
        <v>41</v>
      </c>
      <c r="G17" s="25" t="s">
        <v>42</v>
      </c>
      <c r="H17" s="5"/>
      <c r="I17" s="5"/>
      <c r="J17" s="5"/>
      <c r="K17" s="5"/>
      <c r="L17" s="5"/>
      <c r="M17" s="5"/>
      <c r="N17" s="5"/>
      <c r="O17" s="5"/>
      <c r="P17" s="5"/>
      <c r="Q17" s="5"/>
      <c r="R17" s="5"/>
      <c r="S17" s="5"/>
      <c r="T17" s="5"/>
      <c r="U17" s="5"/>
      <c r="V17" s="5"/>
      <c r="W17" s="14"/>
      <c r="X17" s="14"/>
      <c r="Y17" s="14"/>
      <c r="Z17" s="14"/>
    </row>
    <row r="18" ht="317.25" customHeight="1">
      <c r="A18" s="21" t="s">
        <v>43</v>
      </c>
      <c r="B18" s="21" t="s">
        <v>44</v>
      </c>
      <c r="C18" s="23">
        <v>0.3</v>
      </c>
      <c r="D18" s="24">
        <v>1.0</v>
      </c>
      <c r="E18" s="29" t="s">
        <v>45</v>
      </c>
      <c r="F18" s="25" t="s">
        <v>46</v>
      </c>
      <c r="G18" s="29" t="s">
        <v>47</v>
      </c>
      <c r="H18" s="5"/>
      <c r="I18" s="5"/>
      <c r="J18" s="5"/>
      <c r="K18" s="5"/>
      <c r="L18" s="5"/>
      <c r="M18" s="5"/>
      <c r="N18" s="5"/>
      <c r="O18" s="5"/>
      <c r="P18" s="5"/>
      <c r="Q18" s="5"/>
      <c r="R18" s="5"/>
      <c r="S18" s="5"/>
      <c r="T18" s="5"/>
      <c r="U18" s="5"/>
      <c r="V18" s="5"/>
      <c r="W18" s="14"/>
      <c r="X18" s="14"/>
      <c r="Y18" s="14"/>
      <c r="Z18" s="14"/>
    </row>
    <row r="19" ht="153.0" customHeight="1">
      <c r="A19" s="21" t="s">
        <v>48</v>
      </c>
      <c r="B19" s="21" t="s">
        <v>49</v>
      </c>
      <c r="C19" s="23">
        <v>0.2</v>
      </c>
      <c r="D19" s="24">
        <v>4.0</v>
      </c>
      <c r="E19" s="25" t="s">
        <v>50</v>
      </c>
      <c r="F19" s="25" t="s">
        <v>51</v>
      </c>
      <c r="G19" s="25" t="s">
        <v>52</v>
      </c>
      <c r="H19" s="5"/>
      <c r="I19" s="5"/>
      <c r="J19" s="5"/>
      <c r="K19" s="5"/>
      <c r="L19" s="5"/>
      <c r="M19" s="5"/>
      <c r="N19" s="5"/>
      <c r="O19" s="5"/>
      <c r="P19" s="5"/>
      <c r="Q19" s="5"/>
      <c r="R19" s="5"/>
      <c r="S19" s="5"/>
      <c r="T19" s="5"/>
      <c r="U19" s="5"/>
      <c r="V19" s="5"/>
      <c r="W19" s="14"/>
      <c r="X19" s="14"/>
      <c r="Y19" s="14"/>
      <c r="Z19" s="14"/>
    </row>
    <row r="20" ht="252.75" customHeight="1">
      <c r="A20" s="21" t="s">
        <v>53</v>
      </c>
      <c r="B20" s="21" t="s">
        <v>54</v>
      </c>
      <c r="C20" s="23">
        <v>0.2</v>
      </c>
      <c r="D20" s="24">
        <v>5.0</v>
      </c>
      <c r="E20" s="37" t="s">
        <v>55</v>
      </c>
      <c r="F20" s="38" t="s">
        <v>56</v>
      </c>
      <c r="G20" s="38" t="s">
        <v>57</v>
      </c>
      <c r="H20" s="5"/>
      <c r="I20" s="5"/>
      <c r="J20" s="5"/>
      <c r="K20" s="5"/>
      <c r="L20" s="5"/>
      <c r="M20" s="5"/>
      <c r="N20" s="5"/>
      <c r="O20" s="5"/>
      <c r="P20" s="5"/>
      <c r="Q20" s="5"/>
      <c r="R20" s="5"/>
      <c r="S20" s="5"/>
      <c r="T20" s="5"/>
      <c r="U20" s="5"/>
      <c r="V20" s="5"/>
      <c r="W20" s="14"/>
      <c r="X20" s="14"/>
      <c r="Y20" s="14"/>
      <c r="Z20" s="14"/>
    </row>
    <row r="21" ht="15.75" customHeight="1">
      <c r="A21" s="15"/>
      <c r="C21" s="39">
        <f>SUM(C17:C20)</f>
        <v>1</v>
      </c>
      <c r="D21" s="31"/>
      <c r="E21" s="25"/>
      <c r="F21" s="25"/>
      <c r="G21" s="25"/>
      <c r="H21" s="5"/>
      <c r="I21" s="5"/>
      <c r="J21" s="5"/>
      <c r="K21" s="5"/>
      <c r="L21" s="5"/>
      <c r="M21" s="5"/>
      <c r="N21" s="5"/>
      <c r="O21" s="5"/>
      <c r="P21" s="5"/>
      <c r="Q21" s="5"/>
      <c r="R21" s="5"/>
      <c r="S21" s="5"/>
      <c r="T21" s="5"/>
      <c r="U21" s="5"/>
      <c r="V21" s="5"/>
      <c r="W21" s="14"/>
      <c r="X21" s="14"/>
      <c r="Y21" s="14"/>
      <c r="Z21" s="14"/>
    </row>
    <row r="22" ht="15.75" customHeight="1">
      <c r="A22" s="32"/>
      <c r="B22" s="33" t="s">
        <v>36</v>
      </c>
      <c r="C22" s="34">
        <v>0.2</v>
      </c>
      <c r="D22" s="35">
        <f>SUMPRODUCT(D17:D20,C17:C20)</f>
        <v>2.4</v>
      </c>
      <c r="E22" s="36"/>
      <c r="F22" s="36"/>
      <c r="G22" s="36"/>
      <c r="H22" s="5"/>
      <c r="I22" s="5"/>
      <c r="J22" s="5"/>
      <c r="K22" s="5"/>
      <c r="L22" s="5"/>
      <c r="M22" s="5"/>
      <c r="N22" s="5"/>
      <c r="O22" s="5"/>
      <c r="P22" s="5"/>
      <c r="Q22" s="5"/>
      <c r="R22" s="5"/>
      <c r="S22" s="5"/>
      <c r="T22" s="5"/>
      <c r="U22" s="5"/>
      <c r="V22" s="5"/>
      <c r="W22" s="14"/>
      <c r="X22" s="14"/>
      <c r="Y22" s="14"/>
      <c r="Z22" s="14"/>
    </row>
    <row r="23" ht="15.75" customHeight="1">
      <c r="A23" s="15"/>
      <c r="C23" s="31"/>
      <c r="D23" s="31"/>
      <c r="E23" s="25"/>
      <c r="F23" s="25"/>
      <c r="G23" s="25"/>
      <c r="H23" s="5"/>
      <c r="I23" s="5"/>
      <c r="J23" s="5"/>
      <c r="K23" s="5"/>
      <c r="L23" s="5"/>
      <c r="M23" s="5"/>
      <c r="N23" s="5"/>
      <c r="O23" s="5"/>
      <c r="P23" s="5"/>
      <c r="Q23" s="5"/>
      <c r="R23" s="5"/>
      <c r="S23" s="5"/>
      <c r="T23" s="5"/>
      <c r="U23" s="5"/>
      <c r="V23" s="5"/>
      <c r="W23" s="14"/>
      <c r="X23" s="14"/>
      <c r="Y23" s="14"/>
      <c r="Z23" s="14"/>
    </row>
    <row r="24" ht="15.75" customHeight="1">
      <c r="A24" s="17" t="s">
        <v>58</v>
      </c>
      <c r="B24" s="18"/>
      <c r="C24" s="18"/>
      <c r="D24" s="19" t="s">
        <v>12</v>
      </c>
      <c r="E24" s="20" t="s">
        <v>13</v>
      </c>
      <c r="F24" s="20" t="s">
        <v>14</v>
      </c>
      <c r="G24" s="20" t="s">
        <v>15</v>
      </c>
      <c r="H24" s="5"/>
      <c r="I24" s="5"/>
      <c r="J24" s="5"/>
      <c r="K24" s="5"/>
      <c r="L24" s="5"/>
      <c r="M24" s="5"/>
      <c r="N24" s="5"/>
      <c r="O24" s="5"/>
      <c r="P24" s="5"/>
      <c r="Q24" s="5"/>
      <c r="R24" s="5"/>
      <c r="S24" s="5"/>
      <c r="T24" s="5"/>
      <c r="U24" s="5"/>
      <c r="V24" s="5"/>
      <c r="W24" s="14"/>
      <c r="X24" s="14"/>
      <c r="Y24" s="14"/>
      <c r="Z24" s="14"/>
    </row>
    <row r="25" ht="162.0" customHeight="1">
      <c r="A25" s="21" t="s">
        <v>59</v>
      </c>
      <c r="B25" s="21" t="s">
        <v>60</v>
      </c>
      <c r="C25" s="23">
        <v>0.25</v>
      </c>
      <c r="D25" s="24">
        <v>4.0</v>
      </c>
      <c r="E25" s="37" t="s">
        <v>61</v>
      </c>
      <c r="F25" s="25" t="s">
        <v>62</v>
      </c>
      <c r="G25" s="25" t="s">
        <v>63</v>
      </c>
      <c r="H25" s="5"/>
      <c r="I25" s="5"/>
      <c r="J25" s="5"/>
      <c r="K25" s="5"/>
      <c r="L25" s="5"/>
      <c r="M25" s="5"/>
      <c r="N25" s="5"/>
      <c r="O25" s="5"/>
      <c r="P25" s="5"/>
      <c r="Q25" s="5"/>
      <c r="R25" s="5"/>
      <c r="S25" s="5"/>
      <c r="T25" s="5"/>
      <c r="U25" s="5"/>
      <c r="V25" s="5"/>
      <c r="W25" s="14"/>
      <c r="X25" s="14"/>
      <c r="Y25" s="14"/>
      <c r="Z25" s="14"/>
    </row>
    <row r="26" ht="127.5" customHeight="1">
      <c r="A26" s="21" t="s">
        <v>64</v>
      </c>
      <c r="B26" s="21" t="s">
        <v>65</v>
      </c>
      <c r="C26" s="23">
        <v>0.2</v>
      </c>
      <c r="D26" s="24">
        <v>4.0</v>
      </c>
      <c r="E26" s="38" t="s">
        <v>66</v>
      </c>
      <c r="F26" s="25" t="s">
        <v>67</v>
      </c>
      <c r="G26" s="25" t="s">
        <v>68</v>
      </c>
      <c r="H26" s="5"/>
      <c r="I26" s="5"/>
      <c r="J26" s="5"/>
      <c r="K26" s="5"/>
      <c r="L26" s="5"/>
      <c r="M26" s="5"/>
      <c r="N26" s="5"/>
      <c r="O26" s="5"/>
      <c r="P26" s="5"/>
      <c r="Q26" s="5"/>
      <c r="R26" s="5"/>
      <c r="S26" s="5"/>
      <c r="T26" s="5"/>
      <c r="U26" s="5"/>
      <c r="V26" s="5"/>
      <c r="W26" s="14"/>
      <c r="X26" s="14"/>
      <c r="Y26" s="14"/>
      <c r="Z26" s="14"/>
    </row>
    <row r="27" ht="127.5" customHeight="1">
      <c r="A27" s="21" t="s">
        <v>69</v>
      </c>
      <c r="B27" s="21" t="s">
        <v>70</v>
      </c>
      <c r="C27" s="23">
        <v>0.15</v>
      </c>
      <c r="D27" s="24">
        <v>3.0</v>
      </c>
      <c r="E27" s="25" t="s">
        <v>71</v>
      </c>
      <c r="F27" s="38" t="s">
        <v>72</v>
      </c>
      <c r="G27" s="38" t="s">
        <v>73</v>
      </c>
      <c r="H27" s="5"/>
      <c r="I27" s="5"/>
      <c r="J27" s="5"/>
      <c r="K27" s="5"/>
      <c r="L27" s="5"/>
      <c r="M27" s="5"/>
      <c r="N27" s="5"/>
      <c r="O27" s="5"/>
      <c r="P27" s="5"/>
      <c r="Q27" s="5"/>
      <c r="R27" s="5"/>
      <c r="S27" s="5"/>
      <c r="T27" s="5"/>
      <c r="U27" s="5"/>
      <c r="V27" s="5"/>
      <c r="W27" s="14"/>
      <c r="X27" s="14"/>
      <c r="Y27" s="14"/>
      <c r="Z27" s="14"/>
    </row>
    <row r="28" ht="127.5" customHeight="1">
      <c r="A28" s="21" t="s">
        <v>74</v>
      </c>
      <c r="B28" s="21" t="s">
        <v>75</v>
      </c>
      <c r="C28" s="23">
        <v>0.2</v>
      </c>
      <c r="D28" s="24">
        <v>3.0</v>
      </c>
      <c r="E28" s="25" t="s">
        <v>76</v>
      </c>
      <c r="F28" s="25" t="s">
        <v>77</v>
      </c>
      <c r="G28" s="25" t="s">
        <v>78</v>
      </c>
      <c r="H28" s="5"/>
      <c r="I28" s="5"/>
      <c r="J28" s="5"/>
      <c r="K28" s="5"/>
      <c r="L28" s="5"/>
      <c r="M28" s="5"/>
      <c r="N28" s="5"/>
      <c r="O28" s="5"/>
      <c r="P28" s="5"/>
      <c r="Q28" s="5"/>
      <c r="R28" s="5"/>
      <c r="S28" s="5"/>
      <c r="T28" s="5"/>
      <c r="U28" s="5"/>
      <c r="V28" s="5"/>
      <c r="W28" s="14"/>
      <c r="X28" s="14"/>
      <c r="Y28" s="14"/>
      <c r="Z28" s="14"/>
    </row>
    <row r="29" ht="151.5" customHeight="1">
      <c r="A29" s="21" t="s">
        <v>79</v>
      </c>
      <c r="B29" s="21" t="s">
        <v>80</v>
      </c>
      <c r="C29" s="23">
        <v>0.2</v>
      </c>
      <c r="D29" s="24">
        <v>3.0</v>
      </c>
      <c r="E29" s="25" t="s">
        <v>81</v>
      </c>
      <c r="F29" s="25" t="s">
        <v>82</v>
      </c>
      <c r="G29" s="25" t="s">
        <v>83</v>
      </c>
      <c r="H29" s="5"/>
      <c r="I29" s="5"/>
      <c r="J29" s="5"/>
      <c r="K29" s="5"/>
      <c r="L29" s="5"/>
      <c r="M29" s="5"/>
      <c r="N29" s="5"/>
      <c r="O29" s="5"/>
      <c r="P29" s="5"/>
      <c r="Q29" s="5"/>
      <c r="R29" s="5"/>
      <c r="S29" s="5"/>
      <c r="T29" s="5"/>
      <c r="U29" s="5"/>
      <c r="V29" s="5"/>
      <c r="W29" s="14"/>
      <c r="X29" s="14"/>
      <c r="Y29" s="14"/>
      <c r="Z29" s="14"/>
    </row>
    <row r="30" ht="15.75" customHeight="1">
      <c r="A30" s="15"/>
      <c r="B30" s="15"/>
      <c r="C30" s="30">
        <f>SUM(C25:C29)</f>
        <v>1</v>
      </c>
      <c r="D30" s="40"/>
      <c r="E30" s="15"/>
      <c r="F30" s="25"/>
      <c r="G30" s="25"/>
      <c r="H30" s="5"/>
      <c r="I30" s="5"/>
      <c r="J30" s="5"/>
      <c r="K30" s="5"/>
      <c r="L30" s="5"/>
      <c r="M30" s="5"/>
      <c r="N30" s="5"/>
      <c r="O30" s="5"/>
      <c r="P30" s="5"/>
      <c r="Q30" s="5"/>
      <c r="R30" s="5"/>
      <c r="S30" s="5"/>
      <c r="T30" s="5"/>
      <c r="U30" s="5"/>
      <c r="V30" s="5"/>
      <c r="W30" s="14"/>
      <c r="X30" s="14"/>
      <c r="Y30" s="14"/>
      <c r="Z30" s="14"/>
    </row>
    <row r="31" ht="15.75" customHeight="1">
      <c r="A31" s="32"/>
      <c r="B31" s="33" t="s">
        <v>36</v>
      </c>
      <c r="C31" s="34">
        <v>0.2</v>
      </c>
      <c r="D31" s="41">
        <f>SUMPRODUCT(D25:D29,C25:C29)</f>
        <v>3.45</v>
      </c>
      <c r="E31" s="36"/>
      <c r="F31" s="36"/>
      <c r="G31" s="36"/>
      <c r="H31" s="5"/>
      <c r="I31" s="5"/>
      <c r="J31" s="5"/>
      <c r="K31" s="5"/>
      <c r="L31" s="5"/>
      <c r="M31" s="5"/>
      <c r="N31" s="5"/>
      <c r="O31" s="5"/>
      <c r="P31" s="5"/>
      <c r="Q31" s="5"/>
      <c r="R31" s="5"/>
      <c r="S31" s="5"/>
      <c r="T31" s="5"/>
      <c r="U31" s="5"/>
      <c r="V31" s="5"/>
      <c r="W31" s="14"/>
      <c r="X31" s="14"/>
      <c r="Y31" s="14"/>
      <c r="Z31" s="14"/>
    </row>
    <row r="32" ht="15.75" customHeight="1">
      <c r="A32" s="15"/>
      <c r="C32" s="31"/>
      <c r="D32" s="31"/>
      <c r="E32" s="25"/>
      <c r="F32" s="25"/>
      <c r="G32" s="25"/>
      <c r="H32" s="5"/>
      <c r="I32" s="5"/>
      <c r="J32" s="5"/>
      <c r="K32" s="5"/>
      <c r="L32" s="5"/>
      <c r="M32" s="5"/>
      <c r="N32" s="5"/>
      <c r="O32" s="5"/>
      <c r="P32" s="5"/>
      <c r="Q32" s="5"/>
      <c r="R32" s="5"/>
      <c r="S32" s="5"/>
      <c r="T32" s="5"/>
      <c r="U32" s="5"/>
      <c r="V32" s="5"/>
      <c r="W32" s="14"/>
      <c r="X32" s="14"/>
      <c r="Y32" s="14"/>
      <c r="Z32" s="14"/>
    </row>
    <row r="33" ht="15.75" customHeight="1">
      <c r="A33" s="17" t="s">
        <v>84</v>
      </c>
      <c r="B33" s="18"/>
      <c r="C33" s="18"/>
      <c r="D33" s="19" t="s">
        <v>12</v>
      </c>
      <c r="E33" s="20" t="s">
        <v>13</v>
      </c>
      <c r="F33" s="20" t="s">
        <v>14</v>
      </c>
      <c r="G33" s="20" t="s">
        <v>15</v>
      </c>
      <c r="H33" s="5"/>
      <c r="I33" s="5"/>
      <c r="J33" s="5"/>
      <c r="K33" s="5"/>
      <c r="L33" s="5"/>
      <c r="M33" s="5"/>
      <c r="N33" s="5"/>
      <c r="O33" s="5"/>
      <c r="P33" s="5"/>
      <c r="Q33" s="5"/>
      <c r="R33" s="5"/>
      <c r="S33" s="5"/>
      <c r="T33" s="5"/>
      <c r="U33" s="5"/>
      <c r="V33" s="5"/>
      <c r="W33" s="14"/>
      <c r="X33" s="14"/>
      <c r="Y33" s="14"/>
      <c r="Z33" s="14"/>
    </row>
    <row r="34" ht="121.5" customHeight="1">
      <c r="A34" s="21" t="s">
        <v>85</v>
      </c>
      <c r="B34" s="21" t="s">
        <v>86</v>
      </c>
      <c r="C34" s="23">
        <v>0.3</v>
      </c>
      <c r="D34" s="24">
        <v>4.0</v>
      </c>
      <c r="E34" s="25" t="s">
        <v>87</v>
      </c>
      <c r="F34" s="25" t="s">
        <v>88</v>
      </c>
      <c r="G34" s="25" t="s">
        <v>89</v>
      </c>
      <c r="H34" s="5"/>
      <c r="I34" s="5"/>
      <c r="J34" s="5"/>
      <c r="K34" s="5"/>
      <c r="L34" s="5"/>
      <c r="M34" s="5"/>
      <c r="N34" s="5"/>
      <c r="O34" s="5"/>
      <c r="P34" s="5"/>
      <c r="Q34" s="5"/>
      <c r="R34" s="5"/>
      <c r="S34" s="5"/>
      <c r="T34" s="5"/>
      <c r="U34" s="5"/>
      <c r="V34" s="5"/>
      <c r="W34" s="14"/>
      <c r="X34" s="14"/>
      <c r="Y34" s="14"/>
      <c r="Z34" s="14"/>
    </row>
    <row r="35" ht="155.25" customHeight="1">
      <c r="A35" s="21" t="s">
        <v>90</v>
      </c>
      <c r="B35" s="42" t="s">
        <v>91</v>
      </c>
      <c r="C35" s="23">
        <v>0.25</v>
      </c>
      <c r="D35" s="24">
        <v>3.0</v>
      </c>
      <c r="E35" s="29" t="s">
        <v>92</v>
      </c>
      <c r="F35" s="29" t="s">
        <v>93</v>
      </c>
      <c r="G35" s="29" t="s">
        <v>94</v>
      </c>
      <c r="H35" s="5"/>
      <c r="I35" s="5"/>
      <c r="J35" s="5"/>
      <c r="K35" s="5"/>
      <c r="L35" s="5"/>
      <c r="M35" s="5"/>
      <c r="N35" s="5"/>
      <c r="O35" s="5"/>
      <c r="P35" s="5"/>
      <c r="Q35" s="5"/>
      <c r="R35" s="5"/>
      <c r="S35" s="5"/>
      <c r="T35" s="5"/>
      <c r="U35" s="5"/>
      <c r="V35" s="5"/>
      <c r="W35" s="14"/>
      <c r="X35" s="14"/>
      <c r="Y35" s="14"/>
      <c r="Z35" s="14"/>
    </row>
    <row r="36" ht="120.0" customHeight="1">
      <c r="A36" s="21" t="s">
        <v>95</v>
      </c>
      <c r="B36" s="21" t="s">
        <v>96</v>
      </c>
      <c r="C36" s="23">
        <v>0.25</v>
      </c>
      <c r="D36" s="24">
        <v>5.0</v>
      </c>
      <c r="E36" s="25" t="s">
        <v>97</v>
      </c>
      <c r="F36" s="25" t="s">
        <v>98</v>
      </c>
      <c r="G36" s="25" t="s">
        <v>99</v>
      </c>
      <c r="H36" s="14"/>
      <c r="I36" s="5"/>
      <c r="J36" s="5"/>
      <c r="K36" s="5"/>
      <c r="L36" s="5"/>
      <c r="M36" s="5"/>
      <c r="N36" s="5"/>
      <c r="O36" s="5"/>
      <c r="P36" s="5"/>
      <c r="Q36" s="5"/>
      <c r="R36" s="5"/>
      <c r="S36" s="5"/>
      <c r="T36" s="5"/>
      <c r="U36" s="5"/>
      <c r="V36" s="5"/>
      <c r="W36" s="14"/>
      <c r="X36" s="14"/>
      <c r="Y36" s="14"/>
      <c r="Z36" s="14"/>
    </row>
    <row r="37" ht="106.5" customHeight="1">
      <c r="A37" s="21" t="s">
        <v>100</v>
      </c>
      <c r="B37" s="21" t="s">
        <v>101</v>
      </c>
      <c r="C37" s="23">
        <v>0.2</v>
      </c>
      <c r="D37" s="24">
        <v>4.0</v>
      </c>
      <c r="E37" s="25" t="s">
        <v>102</v>
      </c>
      <c r="F37" s="25" t="s">
        <v>103</v>
      </c>
      <c r="G37" s="29" t="s">
        <v>104</v>
      </c>
      <c r="H37" s="5"/>
      <c r="I37" s="5"/>
      <c r="J37" s="5"/>
      <c r="K37" s="5"/>
      <c r="L37" s="5"/>
      <c r="M37" s="5"/>
      <c r="N37" s="5"/>
      <c r="O37" s="5"/>
      <c r="P37" s="5"/>
      <c r="Q37" s="5"/>
      <c r="R37" s="5"/>
      <c r="S37" s="5"/>
      <c r="T37" s="5"/>
      <c r="U37" s="5"/>
      <c r="V37" s="5"/>
      <c r="W37" s="14"/>
      <c r="X37" s="14"/>
      <c r="Y37" s="14"/>
      <c r="Z37" s="14"/>
    </row>
    <row r="38" ht="15.75" customHeight="1">
      <c r="A38" s="15"/>
      <c r="B38" s="15"/>
      <c r="C38" s="30">
        <f>SUM(C34:C37)</f>
        <v>1</v>
      </c>
      <c r="D38" s="43"/>
      <c r="E38" s="25"/>
      <c r="F38" s="25"/>
      <c r="G38" s="25"/>
      <c r="H38" s="5"/>
      <c r="I38" s="5"/>
      <c r="J38" s="5"/>
      <c r="K38" s="5"/>
      <c r="L38" s="5"/>
      <c r="M38" s="5"/>
      <c r="N38" s="5"/>
      <c r="O38" s="5"/>
      <c r="P38" s="5"/>
      <c r="Q38" s="5"/>
      <c r="R38" s="5"/>
      <c r="S38" s="5"/>
      <c r="T38" s="5"/>
      <c r="U38" s="5"/>
      <c r="V38" s="5"/>
      <c r="W38" s="14"/>
      <c r="X38" s="14"/>
      <c r="Y38" s="14"/>
      <c r="Z38" s="14"/>
    </row>
    <row r="39" ht="15.75" customHeight="1">
      <c r="A39" s="32"/>
      <c r="B39" s="33" t="s">
        <v>36</v>
      </c>
      <c r="C39" s="34">
        <v>0.2</v>
      </c>
      <c r="D39" s="41">
        <f>SUMPRODUCT(D34:D37,C34:C37)</f>
        <v>4</v>
      </c>
      <c r="E39" s="36"/>
      <c r="F39" s="36"/>
      <c r="G39" s="36"/>
      <c r="H39" s="5"/>
      <c r="I39" s="5"/>
      <c r="J39" s="5"/>
      <c r="K39" s="5"/>
      <c r="L39" s="5"/>
      <c r="M39" s="5"/>
      <c r="N39" s="5"/>
      <c r="O39" s="5"/>
      <c r="P39" s="5"/>
      <c r="Q39" s="5"/>
      <c r="R39" s="5"/>
      <c r="S39" s="5"/>
      <c r="T39" s="5"/>
      <c r="U39" s="5"/>
      <c r="V39" s="5"/>
      <c r="W39" s="14"/>
      <c r="X39" s="14"/>
      <c r="Y39" s="14"/>
      <c r="Z39" s="14"/>
    </row>
    <row r="40" ht="15.75" customHeight="1">
      <c r="A40" s="15"/>
      <c r="C40" s="31"/>
      <c r="D40" s="31"/>
      <c r="E40" s="25"/>
      <c r="F40" s="25"/>
      <c r="G40" s="25"/>
      <c r="H40" s="5"/>
      <c r="I40" s="5"/>
      <c r="J40" s="5"/>
      <c r="K40" s="5"/>
      <c r="L40" s="5"/>
      <c r="M40" s="5"/>
      <c r="N40" s="5"/>
      <c r="O40" s="5"/>
      <c r="P40" s="5"/>
      <c r="Q40" s="5"/>
      <c r="R40" s="5"/>
      <c r="S40" s="5"/>
      <c r="T40" s="5"/>
      <c r="U40" s="5"/>
      <c r="V40" s="5"/>
      <c r="W40" s="14"/>
      <c r="X40" s="14"/>
      <c r="Y40" s="14"/>
      <c r="Z40" s="14"/>
    </row>
    <row r="41" ht="15.75" customHeight="1">
      <c r="A41" s="17" t="s">
        <v>105</v>
      </c>
      <c r="B41" s="18"/>
      <c r="C41" s="18"/>
      <c r="D41" s="19" t="s">
        <v>12</v>
      </c>
      <c r="E41" s="20" t="s">
        <v>13</v>
      </c>
      <c r="F41" s="20" t="s">
        <v>14</v>
      </c>
      <c r="G41" s="20" t="s">
        <v>15</v>
      </c>
      <c r="H41" s="5"/>
      <c r="I41" s="5"/>
      <c r="J41" s="5"/>
      <c r="K41" s="5"/>
      <c r="L41" s="5"/>
      <c r="M41" s="5"/>
      <c r="N41" s="5"/>
      <c r="O41" s="5"/>
      <c r="P41" s="5"/>
      <c r="Q41" s="5"/>
      <c r="R41" s="5"/>
      <c r="S41" s="5"/>
      <c r="T41" s="5"/>
      <c r="U41" s="5"/>
      <c r="V41" s="5"/>
      <c r="W41" s="14"/>
      <c r="X41" s="14"/>
      <c r="Y41" s="14"/>
      <c r="Z41" s="14"/>
    </row>
    <row r="42" ht="121.5" customHeight="1">
      <c r="A42" s="21" t="s">
        <v>106</v>
      </c>
      <c r="B42" s="21" t="s">
        <v>107</v>
      </c>
      <c r="C42" s="23">
        <v>0.25</v>
      </c>
      <c r="D42" s="24">
        <v>3.0</v>
      </c>
      <c r="E42" s="25" t="s">
        <v>108</v>
      </c>
      <c r="F42" s="25" t="s">
        <v>109</v>
      </c>
      <c r="G42" s="25" t="s">
        <v>110</v>
      </c>
      <c r="H42" s="5"/>
      <c r="I42" s="5"/>
      <c r="J42" s="5"/>
      <c r="K42" s="5"/>
      <c r="L42" s="5"/>
      <c r="M42" s="5"/>
      <c r="N42" s="5"/>
      <c r="O42" s="5"/>
      <c r="P42" s="5"/>
      <c r="Q42" s="5"/>
      <c r="R42" s="5"/>
      <c r="S42" s="5"/>
      <c r="T42" s="5"/>
      <c r="U42" s="5"/>
      <c r="V42" s="5"/>
      <c r="W42" s="14"/>
      <c r="X42" s="14"/>
      <c r="Y42" s="14"/>
      <c r="Z42" s="14"/>
    </row>
    <row r="43" ht="93.0" customHeight="1">
      <c r="A43" s="21" t="s">
        <v>111</v>
      </c>
      <c r="B43" s="21" t="s">
        <v>112</v>
      </c>
      <c r="C43" s="23">
        <v>0.25</v>
      </c>
      <c r="D43" s="24">
        <v>4.0</v>
      </c>
      <c r="E43" s="25" t="s">
        <v>113</v>
      </c>
      <c r="F43" s="25" t="s">
        <v>114</v>
      </c>
      <c r="G43" s="25" t="s">
        <v>115</v>
      </c>
      <c r="H43" s="5"/>
      <c r="I43" s="5"/>
      <c r="J43" s="5"/>
      <c r="K43" s="5"/>
      <c r="L43" s="5"/>
      <c r="M43" s="5"/>
      <c r="N43" s="5"/>
      <c r="O43" s="5"/>
      <c r="P43" s="5"/>
      <c r="Q43" s="5"/>
      <c r="R43" s="5"/>
      <c r="S43" s="5"/>
      <c r="T43" s="5"/>
      <c r="U43" s="5"/>
      <c r="V43" s="5"/>
      <c r="W43" s="14"/>
      <c r="X43" s="14"/>
      <c r="Y43" s="14"/>
      <c r="Z43" s="14"/>
    </row>
    <row r="44" ht="90.0" customHeight="1">
      <c r="A44" s="21" t="s">
        <v>116</v>
      </c>
      <c r="B44" s="21" t="s">
        <v>117</v>
      </c>
      <c r="C44" s="23">
        <v>0.1</v>
      </c>
      <c r="D44" s="24">
        <v>4.0</v>
      </c>
      <c r="E44" s="25" t="s">
        <v>118</v>
      </c>
      <c r="F44" s="25" t="s">
        <v>119</v>
      </c>
      <c r="G44" s="25" t="s">
        <v>120</v>
      </c>
      <c r="H44" s="5"/>
      <c r="I44" s="5"/>
      <c r="J44" s="5"/>
      <c r="K44" s="5"/>
      <c r="L44" s="5"/>
      <c r="M44" s="5"/>
      <c r="N44" s="5"/>
      <c r="O44" s="5"/>
      <c r="P44" s="5"/>
      <c r="Q44" s="5"/>
      <c r="R44" s="5"/>
      <c r="S44" s="5"/>
      <c r="T44" s="5"/>
      <c r="U44" s="5"/>
      <c r="V44" s="5"/>
      <c r="W44" s="14"/>
      <c r="X44" s="14"/>
      <c r="Y44" s="14"/>
      <c r="Z44" s="14"/>
    </row>
    <row r="45" ht="185.25" customHeight="1">
      <c r="A45" s="21" t="s">
        <v>121</v>
      </c>
      <c r="B45" s="21" t="s">
        <v>122</v>
      </c>
      <c r="C45" s="23">
        <v>0.2</v>
      </c>
      <c r="D45" s="24">
        <v>3.0</v>
      </c>
      <c r="E45" s="25" t="s">
        <v>123</v>
      </c>
      <c r="F45" s="25" t="s">
        <v>124</v>
      </c>
      <c r="G45" s="25" t="s">
        <v>125</v>
      </c>
      <c r="H45" s="5"/>
      <c r="I45" s="5"/>
      <c r="J45" s="5"/>
      <c r="K45" s="5"/>
      <c r="L45" s="5"/>
      <c r="M45" s="5"/>
      <c r="N45" s="5"/>
      <c r="O45" s="5"/>
      <c r="P45" s="5"/>
      <c r="Q45" s="5"/>
      <c r="R45" s="5"/>
      <c r="S45" s="5"/>
      <c r="T45" s="5"/>
      <c r="U45" s="5"/>
      <c r="V45" s="5"/>
      <c r="W45" s="14"/>
      <c r="X45" s="14"/>
      <c r="Y45" s="14"/>
      <c r="Z45" s="14"/>
    </row>
    <row r="46">
      <c r="A46" s="21" t="s">
        <v>126</v>
      </c>
      <c r="B46" s="21" t="s">
        <v>127</v>
      </c>
      <c r="C46" s="23">
        <v>0.2</v>
      </c>
      <c r="D46" s="24">
        <v>3.0</v>
      </c>
      <c r="E46" s="25" t="s">
        <v>128</v>
      </c>
      <c r="F46" s="25" t="s">
        <v>129</v>
      </c>
      <c r="G46" s="25" t="s">
        <v>130</v>
      </c>
      <c r="H46" s="5"/>
      <c r="I46" s="5"/>
      <c r="J46" s="5"/>
      <c r="K46" s="5"/>
      <c r="L46" s="5"/>
      <c r="M46" s="5"/>
      <c r="N46" s="5"/>
      <c r="O46" s="5"/>
      <c r="P46" s="5"/>
      <c r="Q46" s="5"/>
      <c r="R46" s="5"/>
      <c r="S46" s="5"/>
      <c r="T46" s="5"/>
      <c r="U46" s="5"/>
      <c r="V46" s="5"/>
      <c r="W46" s="14"/>
      <c r="X46" s="14"/>
      <c r="Y46" s="14"/>
      <c r="Z46" s="14"/>
    </row>
    <row r="47" ht="15.75" customHeight="1">
      <c r="A47" s="5"/>
      <c r="B47" s="5"/>
      <c r="C47" s="44">
        <f>SUM(C42:C46)</f>
        <v>1</v>
      </c>
      <c r="D47" s="45"/>
      <c r="E47" s="13"/>
      <c r="F47" s="13"/>
      <c r="G47" s="13"/>
      <c r="H47" s="5"/>
      <c r="I47" s="5"/>
      <c r="J47" s="5"/>
      <c r="K47" s="5"/>
      <c r="L47" s="5"/>
      <c r="M47" s="5"/>
      <c r="N47" s="5"/>
      <c r="O47" s="5"/>
      <c r="P47" s="5"/>
      <c r="Q47" s="5"/>
      <c r="R47" s="5"/>
      <c r="S47" s="5"/>
      <c r="T47" s="5"/>
      <c r="U47" s="5"/>
      <c r="V47" s="5"/>
      <c r="W47" s="14"/>
      <c r="X47" s="14"/>
      <c r="Y47" s="14"/>
      <c r="Z47" s="14"/>
    </row>
    <row r="48" ht="15.75" customHeight="1">
      <c r="A48" s="46"/>
      <c r="B48" s="47" t="s">
        <v>36</v>
      </c>
      <c r="C48" s="48">
        <v>0.1</v>
      </c>
      <c r="D48" s="49">
        <f>SUMPRODUCT(D42:D46,C42:C46)</f>
        <v>3.35</v>
      </c>
      <c r="E48" s="50"/>
      <c r="F48" s="50"/>
      <c r="G48" s="50"/>
      <c r="H48" s="5"/>
      <c r="I48" s="5"/>
      <c r="J48" s="5"/>
      <c r="K48" s="5"/>
      <c r="L48" s="5"/>
      <c r="M48" s="5"/>
      <c r="N48" s="5"/>
      <c r="O48" s="5"/>
      <c r="P48" s="5"/>
      <c r="Q48" s="5"/>
      <c r="R48" s="5"/>
      <c r="S48" s="5"/>
      <c r="T48" s="5"/>
      <c r="U48" s="5"/>
      <c r="V48" s="5"/>
      <c r="W48" s="14"/>
      <c r="X48" s="14"/>
      <c r="Y48" s="14"/>
      <c r="Z48" s="14"/>
    </row>
    <row r="49" ht="15.75" customHeight="1">
      <c r="A49" s="5"/>
      <c r="C49" s="6"/>
      <c r="D49" s="6"/>
      <c r="E49" s="13"/>
      <c r="F49" s="13"/>
      <c r="G49" s="13"/>
      <c r="H49" s="5"/>
      <c r="I49" s="5"/>
      <c r="J49" s="5"/>
      <c r="K49" s="5"/>
      <c r="L49" s="5"/>
      <c r="M49" s="5"/>
      <c r="N49" s="5"/>
      <c r="O49" s="5"/>
      <c r="P49" s="5"/>
      <c r="Q49" s="5"/>
      <c r="R49" s="5"/>
      <c r="S49" s="5"/>
      <c r="T49" s="5"/>
      <c r="U49" s="5"/>
      <c r="V49" s="5"/>
      <c r="W49" s="14"/>
      <c r="X49" s="14"/>
      <c r="Y49" s="14"/>
      <c r="Z49" s="14"/>
    </row>
    <row r="50" ht="15.75" customHeight="1">
      <c r="A50" s="5"/>
      <c r="C50" s="6"/>
      <c r="D50" s="6"/>
      <c r="E50" s="13"/>
      <c r="F50" s="13"/>
      <c r="G50" s="13"/>
      <c r="H50" s="5"/>
      <c r="I50" s="5"/>
      <c r="J50" s="5"/>
      <c r="K50" s="5"/>
      <c r="L50" s="5"/>
      <c r="M50" s="5"/>
      <c r="N50" s="5"/>
      <c r="O50" s="5"/>
      <c r="P50" s="5"/>
      <c r="Q50" s="5"/>
      <c r="R50" s="5"/>
      <c r="S50" s="5"/>
      <c r="T50" s="5"/>
      <c r="U50" s="5"/>
      <c r="V50" s="5"/>
      <c r="W50" s="14"/>
      <c r="X50" s="14"/>
      <c r="Y50" s="14"/>
      <c r="Z50" s="14"/>
    </row>
    <row r="51" ht="15.75" customHeight="1">
      <c r="A51" s="51"/>
      <c r="B51" s="52" t="s">
        <v>131</v>
      </c>
      <c r="C51" s="53">
        <f>C48+C39+C31+C22+C14</f>
        <v>1</v>
      </c>
      <c r="D51" s="54">
        <f>(C48*D48)+(C39*D39)+(C31*D31)+(C22*D22)+(C14*D14)</f>
        <v>2.605</v>
      </c>
      <c r="E51" s="55"/>
      <c r="F51" s="55"/>
      <c r="G51" s="55"/>
      <c r="H51" s="5"/>
      <c r="I51" s="5"/>
      <c r="J51" s="5"/>
      <c r="K51" s="5"/>
      <c r="L51" s="5"/>
      <c r="M51" s="5"/>
      <c r="N51" s="5"/>
      <c r="O51" s="5"/>
      <c r="P51" s="5"/>
      <c r="Q51" s="5"/>
      <c r="R51" s="5"/>
      <c r="S51" s="5"/>
      <c r="T51" s="5"/>
      <c r="U51" s="5"/>
      <c r="V51" s="5"/>
      <c r="W51" s="14"/>
      <c r="X51" s="14"/>
      <c r="Y51" s="14"/>
      <c r="Z51" s="14"/>
    </row>
    <row r="52" ht="15.75" customHeight="1">
      <c r="A52" s="5"/>
      <c r="C52" s="6"/>
      <c r="D52" s="6"/>
      <c r="E52" s="13"/>
      <c r="F52" s="13"/>
      <c r="G52" s="13"/>
      <c r="H52" s="5"/>
      <c r="I52" s="5"/>
      <c r="J52" s="5"/>
      <c r="K52" s="5"/>
      <c r="L52" s="5"/>
      <c r="M52" s="5"/>
      <c r="N52" s="5"/>
      <c r="O52" s="5"/>
      <c r="P52" s="5"/>
      <c r="Q52" s="5"/>
      <c r="R52" s="5"/>
      <c r="S52" s="5"/>
      <c r="T52" s="5"/>
      <c r="U52" s="5"/>
      <c r="V52" s="5"/>
      <c r="W52" s="14"/>
      <c r="X52" s="14"/>
      <c r="Y52" s="14"/>
      <c r="Z52" s="14"/>
    </row>
    <row r="53" ht="15.75" customHeight="1">
      <c r="A53" s="5"/>
      <c r="C53" s="6"/>
      <c r="D53" s="6"/>
      <c r="E53" s="13"/>
      <c r="F53" s="13"/>
      <c r="G53" s="13"/>
      <c r="H53" s="5"/>
      <c r="I53" s="5"/>
      <c r="J53" s="5"/>
      <c r="K53" s="5"/>
      <c r="L53" s="5"/>
      <c r="M53" s="5"/>
      <c r="N53" s="5"/>
      <c r="O53" s="5"/>
      <c r="P53" s="5"/>
      <c r="Q53" s="5"/>
      <c r="R53" s="5"/>
      <c r="S53" s="5"/>
      <c r="T53" s="5"/>
      <c r="U53" s="5"/>
      <c r="V53" s="5"/>
      <c r="W53" s="14"/>
      <c r="X53" s="14"/>
      <c r="Y53" s="14"/>
      <c r="Z53" s="14"/>
    </row>
    <row r="54">
      <c r="A54" s="56" t="s">
        <v>132</v>
      </c>
      <c r="B54" s="18"/>
      <c r="C54" s="6"/>
      <c r="D54" s="6"/>
      <c r="E54" s="13"/>
      <c r="F54" s="13"/>
      <c r="G54" s="13"/>
      <c r="H54" s="5"/>
      <c r="I54" s="5"/>
      <c r="J54" s="5"/>
      <c r="K54" s="5"/>
      <c r="L54" s="5"/>
      <c r="M54" s="5"/>
      <c r="N54" s="5"/>
      <c r="O54" s="5"/>
      <c r="P54" s="5"/>
      <c r="Q54" s="5"/>
      <c r="R54" s="5"/>
      <c r="S54" s="5"/>
      <c r="T54" s="5"/>
      <c r="U54" s="5"/>
      <c r="V54" s="5"/>
      <c r="W54" s="14"/>
      <c r="X54" s="14"/>
      <c r="Y54" s="14"/>
      <c r="Z54" s="14"/>
    </row>
    <row r="55">
      <c r="A55" s="57" t="s">
        <v>133</v>
      </c>
      <c r="B55" s="18"/>
      <c r="C55" s="18"/>
      <c r="D55" s="18"/>
      <c r="E55" s="18"/>
      <c r="F55" s="13"/>
      <c r="G55" s="13"/>
      <c r="H55" s="5"/>
      <c r="I55" s="5"/>
      <c r="J55" s="5"/>
      <c r="K55" s="5"/>
      <c r="L55" s="5"/>
      <c r="M55" s="5"/>
      <c r="N55" s="5"/>
      <c r="O55" s="5"/>
      <c r="P55" s="5"/>
      <c r="Q55" s="5"/>
      <c r="R55" s="5"/>
      <c r="S55" s="5"/>
      <c r="T55" s="5"/>
      <c r="U55" s="5"/>
      <c r="V55" s="5"/>
      <c r="W55" s="14"/>
      <c r="X55" s="14"/>
      <c r="Y55" s="14"/>
      <c r="Z55" s="14"/>
    </row>
    <row r="56">
      <c r="A56" s="57" t="s">
        <v>134</v>
      </c>
      <c r="B56" s="18"/>
      <c r="C56" s="18"/>
      <c r="D56" s="18"/>
      <c r="E56" s="18"/>
      <c r="F56" s="13"/>
      <c r="G56" s="13"/>
      <c r="H56" s="5"/>
      <c r="I56" s="5"/>
      <c r="J56" s="5"/>
      <c r="K56" s="5"/>
      <c r="L56" s="5"/>
      <c r="M56" s="5"/>
      <c r="N56" s="5"/>
      <c r="O56" s="5"/>
      <c r="P56" s="5"/>
      <c r="Q56" s="5"/>
      <c r="R56" s="5"/>
      <c r="S56" s="5"/>
      <c r="T56" s="5"/>
      <c r="U56" s="5"/>
      <c r="V56" s="5"/>
      <c r="W56" s="14"/>
      <c r="X56" s="14"/>
      <c r="Y56" s="14"/>
      <c r="Z56" s="14"/>
    </row>
    <row r="57">
      <c r="A57" s="57" t="s">
        <v>135</v>
      </c>
      <c r="B57" s="18"/>
      <c r="C57" s="18"/>
      <c r="D57" s="18"/>
      <c r="E57" s="18"/>
      <c r="F57" s="13"/>
      <c r="G57" s="13"/>
      <c r="H57" s="5"/>
      <c r="I57" s="5"/>
      <c r="J57" s="5"/>
      <c r="K57" s="5"/>
      <c r="L57" s="5"/>
      <c r="M57" s="5"/>
      <c r="N57" s="5"/>
      <c r="O57" s="5"/>
      <c r="P57" s="5"/>
      <c r="Q57" s="5"/>
      <c r="R57" s="5"/>
      <c r="S57" s="5"/>
      <c r="T57" s="5"/>
      <c r="U57" s="5"/>
      <c r="V57" s="5"/>
      <c r="W57" s="14"/>
      <c r="X57" s="14"/>
      <c r="Y57" s="14"/>
      <c r="Z57" s="14"/>
    </row>
    <row r="58">
      <c r="A58" s="5"/>
      <c r="B58" s="5"/>
      <c r="C58" s="6"/>
      <c r="D58" s="6"/>
      <c r="E58" s="5"/>
      <c r="F58" s="5"/>
      <c r="G58" s="5"/>
      <c r="H58" s="5"/>
      <c r="I58" s="5"/>
      <c r="J58" s="5"/>
      <c r="K58" s="5"/>
      <c r="L58" s="5"/>
      <c r="M58" s="5"/>
      <c r="N58" s="5"/>
      <c r="O58" s="5"/>
      <c r="P58" s="5"/>
      <c r="Q58" s="5"/>
      <c r="R58" s="5"/>
      <c r="S58" s="5"/>
      <c r="T58" s="5"/>
      <c r="U58" s="5"/>
      <c r="V58" s="5"/>
      <c r="W58" s="14"/>
      <c r="X58" s="14"/>
      <c r="Y58" s="14"/>
      <c r="Z58" s="14"/>
    </row>
    <row r="59" ht="15.75" customHeight="1">
      <c r="A59" s="5"/>
      <c r="B59" s="5"/>
      <c r="C59" s="6"/>
      <c r="D59" s="6"/>
      <c r="E59" s="5"/>
      <c r="F59" s="5"/>
      <c r="G59" s="5"/>
      <c r="H59" s="5"/>
      <c r="I59" s="5"/>
      <c r="J59" s="5"/>
      <c r="K59" s="5"/>
      <c r="L59" s="5"/>
      <c r="M59" s="5"/>
      <c r="N59" s="5"/>
      <c r="O59" s="5"/>
      <c r="P59" s="5"/>
      <c r="Q59" s="5"/>
      <c r="R59" s="5"/>
      <c r="S59" s="5"/>
      <c r="T59" s="5"/>
      <c r="U59" s="5"/>
      <c r="V59" s="5"/>
      <c r="W59" s="14"/>
      <c r="X59" s="14"/>
      <c r="Y59" s="14"/>
      <c r="Z59" s="14"/>
    </row>
    <row r="60" ht="15.75" customHeight="1">
      <c r="A60" s="5"/>
      <c r="B60" s="5"/>
      <c r="C60" s="6"/>
      <c r="D60" s="6"/>
      <c r="E60" s="5"/>
      <c r="F60" s="5"/>
      <c r="G60" s="5"/>
      <c r="H60" s="5"/>
      <c r="I60" s="5"/>
      <c r="J60" s="5"/>
      <c r="K60" s="5"/>
      <c r="L60" s="5"/>
      <c r="M60" s="5"/>
      <c r="N60" s="5"/>
      <c r="O60" s="5"/>
      <c r="P60" s="5"/>
      <c r="Q60" s="5"/>
      <c r="R60" s="5"/>
      <c r="S60" s="5"/>
      <c r="T60" s="5"/>
      <c r="U60" s="5"/>
      <c r="V60" s="5"/>
      <c r="W60" s="14"/>
      <c r="X60" s="14"/>
      <c r="Y60" s="14"/>
      <c r="Z60" s="14"/>
    </row>
    <row r="61" ht="15.75" customHeight="1">
      <c r="A61" s="5"/>
      <c r="B61" s="5"/>
      <c r="C61" s="6"/>
      <c r="D61" s="6"/>
      <c r="E61" s="5"/>
      <c r="F61" s="5"/>
      <c r="G61" s="5"/>
      <c r="H61" s="5"/>
      <c r="I61" s="5"/>
      <c r="J61" s="5"/>
      <c r="K61" s="5"/>
      <c r="L61" s="5"/>
      <c r="M61" s="5"/>
      <c r="N61" s="5"/>
      <c r="O61" s="5"/>
      <c r="P61" s="5"/>
      <c r="Q61" s="5"/>
      <c r="R61" s="5"/>
      <c r="S61" s="5"/>
      <c r="T61" s="5"/>
      <c r="U61" s="5"/>
      <c r="V61" s="5"/>
      <c r="W61" s="14"/>
      <c r="X61" s="14"/>
      <c r="Y61" s="14"/>
      <c r="Z61" s="14"/>
    </row>
    <row r="62" ht="15.75" customHeight="1">
      <c r="A62" s="5"/>
      <c r="B62" s="5"/>
      <c r="C62" s="6"/>
      <c r="D62" s="6"/>
      <c r="E62" s="5"/>
      <c r="F62" s="5"/>
      <c r="G62" s="5"/>
      <c r="H62" s="5"/>
      <c r="I62" s="5"/>
      <c r="J62" s="5"/>
      <c r="K62" s="5"/>
      <c r="L62" s="5"/>
      <c r="M62" s="5"/>
      <c r="N62" s="5"/>
      <c r="O62" s="5"/>
      <c r="P62" s="5"/>
      <c r="Q62" s="5"/>
      <c r="R62" s="5"/>
      <c r="S62" s="5"/>
      <c r="T62" s="5"/>
      <c r="U62" s="5"/>
      <c r="V62" s="5"/>
      <c r="W62" s="14"/>
      <c r="X62" s="14"/>
      <c r="Y62" s="14"/>
      <c r="Z62" s="14"/>
    </row>
    <row r="63" ht="15.75" customHeight="1">
      <c r="A63" s="5"/>
      <c r="B63" s="5"/>
      <c r="C63" s="6"/>
      <c r="D63" s="6"/>
      <c r="E63" s="5"/>
      <c r="F63" s="5"/>
      <c r="G63" s="5"/>
      <c r="H63" s="5"/>
      <c r="I63" s="5"/>
      <c r="J63" s="5"/>
      <c r="K63" s="5"/>
      <c r="L63" s="5"/>
      <c r="M63" s="5"/>
      <c r="N63" s="5"/>
      <c r="O63" s="5"/>
      <c r="P63" s="5"/>
      <c r="Q63" s="5"/>
      <c r="R63" s="5"/>
      <c r="S63" s="5"/>
      <c r="T63" s="5"/>
      <c r="U63" s="5"/>
      <c r="V63" s="5"/>
      <c r="W63" s="14"/>
      <c r="X63" s="14"/>
      <c r="Y63" s="14"/>
      <c r="Z63" s="14"/>
    </row>
    <row r="64" ht="15.75" customHeight="1">
      <c r="A64" s="5"/>
      <c r="B64" s="5"/>
      <c r="C64" s="6"/>
      <c r="D64" s="6"/>
      <c r="E64" s="5"/>
      <c r="F64" s="5"/>
      <c r="G64" s="5"/>
      <c r="H64" s="5"/>
      <c r="I64" s="5"/>
      <c r="J64" s="5"/>
      <c r="K64" s="5"/>
      <c r="L64" s="5"/>
      <c r="M64" s="5"/>
      <c r="N64" s="5"/>
      <c r="O64" s="5"/>
      <c r="P64" s="5"/>
      <c r="Q64" s="5"/>
      <c r="R64" s="5"/>
      <c r="S64" s="5"/>
      <c r="T64" s="5"/>
      <c r="U64" s="5"/>
      <c r="V64" s="5"/>
      <c r="W64" s="14"/>
      <c r="X64" s="14"/>
      <c r="Y64" s="14"/>
      <c r="Z64" s="14"/>
    </row>
    <row r="65" ht="15.75" customHeight="1">
      <c r="A65" s="5"/>
      <c r="B65" s="5"/>
      <c r="C65" s="6"/>
      <c r="D65" s="6"/>
      <c r="E65" s="5"/>
      <c r="F65" s="5"/>
      <c r="G65" s="5"/>
      <c r="H65" s="5"/>
      <c r="I65" s="5"/>
      <c r="J65" s="5"/>
      <c r="K65" s="5"/>
      <c r="L65" s="5"/>
      <c r="M65" s="5"/>
      <c r="N65" s="5"/>
      <c r="O65" s="5"/>
      <c r="P65" s="5"/>
      <c r="Q65" s="5"/>
      <c r="R65" s="5"/>
      <c r="S65" s="5"/>
      <c r="T65" s="5"/>
      <c r="U65" s="5"/>
      <c r="V65" s="5"/>
      <c r="W65" s="14"/>
      <c r="X65" s="14"/>
      <c r="Y65" s="14"/>
      <c r="Z65" s="14"/>
    </row>
    <row r="66" ht="15.75" customHeight="1">
      <c r="A66" s="5"/>
      <c r="B66" s="5"/>
      <c r="C66" s="6"/>
      <c r="D66" s="6"/>
      <c r="E66" s="5"/>
      <c r="F66" s="5"/>
      <c r="G66" s="5"/>
      <c r="H66" s="5"/>
      <c r="I66" s="5"/>
      <c r="J66" s="5"/>
      <c r="K66" s="5"/>
      <c r="L66" s="5"/>
      <c r="M66" s="5"/>
      <c r="N66" s="5"/>
      <c r="O66" s="5"/>
      <c r="P66" s="5"/>
      <c r="Q66" s="5"/>
      <c r="R66" s="5"/>
      <c r="S66" s="5"/>
      <c r="T66" s="5"/>
      <c r="U66" s="5"/>
      <c r="V66" s="5"/>
      <c r="W66" s="14"/>
      <c r="X66" s="14"/>
      <c r="Y66" s="14"/>
      <c r="Z66" s="14"/>
    </row>
    <row r="67" ht="15.75" customHeight="1">
      <c r="A67" s="5"/>
      <c r="B67" s="5"/>
      <c r="C67" s="6"/>
      <c r="D67" s="6"/>
      <c r="E67" s="5"/>
      <c r="F67" s="5"/>
      <c r="G67" s="5"/>
      <c r="H67" s="5"/>
      <c r="I67" s="5"/>
      <c r="J67" s="5"/>
      <c r="K67" s="5"/>
      <c r="L67" s="5"/>
      <c r="M67" s="5"/>
      <c r="N67" s="5"/>
      <c r="O67" s="5"/>
      <c r="P67" s="5"/>
      <c r="Q67" s="5"/>
      <c r="R67" s="5"/>
      <c r="S67" s="5"/>
      <c r="T67" s="5"/>
      <c r="U67" s="5"/>
      <c r="V67" s="5"/>
      <c r="W67" s="14"/>
      <c r="X67" s="14"/>
      <c r="Y67" s="14"/>
      <c r="Z67" s="14"/>
    </row>
    <row r="68" ht="15.75" customHeight="1">
      <c r="A68" s="5"/>
      <c r="B68" s="5"/>
      <c r="C68" s="6"/>
      <c r="D68" s="6"/>
      <c r="E68" s="5"/>
      <c r="F68" s="5"/>
      <c r="G68" s="5"/>
      <c r="H68" s="5"/>
      <c r="I68" s="5"/>
      <c r="J68" s="5"/>
      <c r="K68" s="5"/>
      <c r="L68" s="5"/>
      <c r="M68" s="5"/>
      <c r="N68" s="5"/>
      <c r="O68" s="5"/>
      <c r="P68" s="5"/>
      <c r="Q68" s="5"/>
      <c r="R68" s="5"/>
      <c r="S68" s="5"/>
      <c r="T68" s="5"/>
      <c r="U68" s="5"/>
      <c r="V68" s="5"/>
      <c r="W68" s="14"/>
      <c r="X68" s="14"/>
      <c r="Y68" s="14"/>
      <c r="Z68" s="14"/>
    </row>
    <row r="69" ht="15.75" customHeight="1">
      <c r="A69" s="5"/>
      <c r="B69" s="5"/>
      <c r="C69" s="6"/>
      <c r="D69" s="6"/>
      <c r="E69" s="5"/>
      <c r="F69" s="5"/>
      <c r="G69" s="5"/>
      <c r="H69" s="5"/>
      <c r="I69" s="5"/>
      <c r="J69" s="5"/>
      <c r="K69" s="5"/>
      <c r="L69" s="5"/>
      <c r="M69" s="5"/>
      <c r="N69" s="5"/>
      <c r="O69" s="5"/>
      <c r="P69" s="5"/>
      <c r="Q69" s="5"/>
      <c r="R69" s="5"/>
      <c r="S69" s="5"/>
      <c r="T69" s="5"/>
      <c r="U69" s="5"/>
      <c r="V69" s="5"/>
      <c r="W69" s="14"/>
      <c r="X69" s="14"/>
      <c r="Y69" s="14"/>
      <c r="Z69" s="14"/>
    </row>
    <row r="70" ht="15.75" customHeight="1">
      <c r="A70" s="5"/>
      <c r="B70" s="5"/>
      <c r="C70" s="6"/>
      <c r="D70" s="6"/>
      <c r="E70" s="5"/>
      <c r="F70" s="5"/>
      <c r="G70" s="5"/>
      <c r="H70" s="5"/>
      <c r="I70" s="5"/>
      <c r="J70" s="5"/>
      <c r="K70" s="5"/>
      <c r="L70" s="5"/>
      <c r="M70" s="5"/>
      <c r="N70" s="5"/>
      <c r="O70" s="5"/>
      <c r="P70" s="5"/>
      <c r="Q70" s="5"/>
      <c r="R70" s="5"/>
      <c r="S70" s="5"/>
      <c r="T70" s="5"/>
      <c r="U70" s="5"/>
      <c r="V70" s="5"/>
      <c r="W70" s="14"/>
      <c r="X70" s="14"/>
      <c r="Y70" s="14"/>
      <c r="Z70" s="14"/>
    </row>
    <row r="71" ht="15.75" customHeight="1">
      <c r="A71" s="5"/>
      <c r="B71" s="5"/>
      <c r="C71" s="6"/>
      <c r="D71" s="6"/>
      <c r="E71" s="5"/>
      <c r="F71" s="5"/>
      <c r="G71" s="5"/>
      <c r="H71" s="5"/>
      <c r="I71" s="5"/>
      <c r="J71" s="5"/>
      <c r="K71" s="5"/>
      <c r="L71" s="5"/>
      <c r="M71" s="5"/>
      <c r="N71" s="5"/>
      <c r="O71" s="5"/>
      <c r="P71" s="5"/>
      <c r="Q71" s="5"/>
      <c r="R71" s="5"/>
      <c r="S71" s="5"/>
      <c r="T71" s="5"/>
      <c r="U71" s="5"/>
      <c r="V71" s="5"/>
      <c r="W71" s="14"/>
      <c r="X71" s="14"/>
      <c r="Y71" s="14"/>
      <c r="Z71" s="14"/>
    </row>
    <row r="72" ht="15.75" customHeight="1">
      <c r="A72" s="5"/>
      <c r="B72" s="5"/>
      <c r="C72" s="6"/>
      <c r="D72" s="6"/>
      <c r="E72" s="5"/>
      <c r="F72" s="5"/>
      <c r="G72" s="5"/>
      <c r="H72" s="5"/>
      <c r="I72" s="5"/>
      <c r="J72" s="5"/>
      <c r="K72" s="5"/>
      <c r="L72" s="5"/>
      <c r="M72" s="5"/>
      <c r="N72" s="5"/>
      <c r="O72" s="5"/>
      <c r="P72" s="5"/>
      <c r="Q72" s="5"/>
      <c r="R72" s="5"/>
      <c r="S72" s="5"/>
      <c r="T72" s="5"/>
      <c r="U72" s="5"/>
      <c r="V72" s="5"/>
      <c r="W72" s="14"/>
      <c r="X72" s="14"/>
      <c r="Y72" s="14"/>
      <c r="Z72" s="14"/>
    </row>
    <row r="73" ht="15.75" customHeight="1">
      <c r="A73" s="5"/>
      <c r="B73" s="5"/>
      <c r="C73" s="6"/>
      <c r="D73" s="6"/>
      <c r="E73" s="5"/>
      <c r="F73" s="5"/>
      <c r="G73" s="5"/>
      <c r="H73" s="5"/>
      <c r="I73" s="5"/>
      <c r="J73" s="5"/>
      <c r="K73" s="5"/>
      <c r="L73" s="5"/>
      <c r="M73" s="5"/>
      <c r="N73" s="5"/>
      <c r="O73" s="5"/>
      <c r="P73" s="5"/>
      <c r="Q73" s="5"/>
      <c r="R73" s="5"/>
      <c r="S73" s="5"/>
      <c r="T73" s="5"/>
      <c r="U73" s="5"/>
      <c r="V73" s="5"/>
      <c r="W73" s="14"/>
      <c r="X73" s="14"/>
      <c r="Y73" s="14"/>
      <c r="Z73" s="14"/>
    </row>
    <row r="74" ht="15.75" customHeight="1">
      <c r="A74" s="5"/>
      <c r="B74" s="5"/>
      <c r="C74" s="6"/>
      <c r="D74" s="6"/>
      <c r="E74" s="5"/>
      <c r="F74" s="5"/>
      <c r="G74" s="5"/>
      <c r="H74" s="5"/>
      <c r="I74" s="5"/>
      <c r="J74" s="5"/>
      <c r="K74" s="5"/>
      <c r="L74" s="5"/>
      <c r="M74" s="5"/>
      <c r="N74" s="5"/>
      <c r="O74" s="5"/>
      <c r="P74" s="5"/>
      <c r="Q74" s="5"/>
      <c r="R74" s="5"/>
      <c r="S74" s="5"/>
      <c r="T74" s="5"/>
      <c r="U74" s="5"/>
      <c r="V74" s="5"/>
      <c r="W74" s="14"/>
      <c r="X74" s="14"/>
      <c r="Y74" s="14"/>
      <c r="Z74" s="14"/>
    </row>
    <row r="75" ht="15.75" customHeight="1">
      <c r="A75" s="5"/>
      <c r="B75" s="5"/>
      <c r="C75" s="6"/>
      <c r="D75" s="6"/>
      <c r="E75" s="5"/>
      <c r="F75" s="5"/>
      <c r="G75" s="5"/>
      <c r="H75" s="5"/>
      <c r="I75" s="5"/>
      <c r="J75" s="5"/>
      <c r="K75" s="5"/>
      <c r="L75" s="5"/>
      <c r="M75" s="5"/>
      <c r="N75" s="5"/>
      <c r="O75" s="5"/>
      <c r="P75" s="5"/>
      <c r="Q75" s="5"/>
      <c r="R75" s="5"/>
      <c r="S75" s="5"/>
      <c r="T75" s="5"/>
      <c r="U75" s="5"/>
      <c r="V75" s="5"/>
      <c r="W75" s="14"/>
      <c r="X75" s="14"/>
      <c r="Y75" s="14"/>
      <c r="Z75" s="14"/>
    </row>
    <row r="76" ht="15.75" customHeight="1">
      <c r="A76" s="5"/>
      <c r="B76" s="5"/>
      <c r="C76" s="6"/>
      <c r="D76" s="6"/>
      <c r="E76" s="5"/>
      <c r="F76" s="5"/>
      <c r="G76" s="5"/>
      <c r="H76" s="5"/>
      <c r="I76" s="5"/>
      <c r="J76" s="5"/>
      <c r="K76" s="5"/>
      <c r="L76" s="5"/>
      <c r="M76" s="5"/>
      <c r="N76" s="5"/>
      <c r="O76" s="5"/>
      <c r="P76" s="5"/>
      <c r="Q76" s="5"/>
      <c r="R76" s="5"/>
      <c r="S76" s="5"/>
      <c r="T76" s="5"/>
      <c r="U76" s="5"/>
      <c r="V76" s="5"/>
      <c r="W76" s="14"/>
      <c r="X76" s="14"/>
      <c r="Y76" s="14"/>
      <c r="Z76" s="14"/>
    </row>
    <row r="77" ht="15.75" customHeight="1">
      <c r="A77" s="5"/>
      <c r="B77" s="5"/>
      <c r="C77" s="6"/>
      <c r="D77" s="6"/>
      <c r="E77" s="5"/>
      <c r="F77" s="5"/>
      <c r="G77" s="5"/>
      <c r="H77" s="5"/>
      <c r="I77" s="5"/>
      <c r="J77" s="5"/>
      <c r="K77" s="5"/>
      <c r="L77" s="5"/>
      <c r="M77" s="5"/>
      <c r="N77" s="5"/>
      <c r="O77" s="5"/>
      <c r="P77" s="5"/>
      <c r="Q77" s="5"/>
      <c r="R77" s="5"/>
      <c r="S77" s="5"/>
      <c r="T77" s="5"/>
      <c r="U77" s="5"/>
      <c r="V77" s="5"/>
      <c r="W77" s="14"/>
      <c r="X77" s="14"/>
      <c r="Y77" s="14"/>
      <c r="Z77" s="14"/>
    </row>
    <row r="78" ht="15.75" customHeight="1">
      <c r="A78" s="5"/>
      <c r="B78" s="5"/>
      <c r="C78" s="6"/>
      <c r="D78" s="6"/>
      <c r="E78" s="5"/>
      <c r="F78" s="5"/>
      <c r="G78" s="5"/>
      <c r="H78" s="5"/>
      <c r="I78" s="5"/>
      <c r="J78" s="5"/>
      <c r="K78" s="5"/>
      <c r="L78" s="5"/>
      <c r="M78" s="5"/>
      <c r="N78" s="5"/>
      <c r="O78" s="5"/>
      <c r="P78" s="5"/>
      <c r="Q78" s="5"/>
      <c r="R78" s="5"/>
      <c r="S78" s="5"/>
      <c r="T78" s="5"/>
      <c r="U78" s="5"/>
      <c r="V78" s="5"/>
      <c r="W78" s="14"/>
      <c r="X78" s="14"/>
      <c r="Y78" s="14"/>
      <c r="Z78" s="14"/>
    </row>
    <row r="79" ht="15.75" customHeight="1">
      <c r="A79" s="5"/>
      <c r="B79" s="5"/>
      <c r="C79" s="6"/>
      <c r="D79" s="6"/>
      <c r="E79" s="5"/>
      <c r="F79" s="5"/>
      <c r="G79" s="5"/>
      <c r="H79" s="5"/>
      <c r="I79" s="5"/>
      <c r="J79" s="5"/>
      <c r="K79" s="5"/>
      <c r="L79" s="5"/>
      <c r="M79" s="5"/>
      <c r="N79" s="5"/>
      <c r="O79" s="5"/>
      <c r="P79" s="5"/>
      <c r="Q79" s="5"/>
      <c r="R79" s="5"/>
      <c r="S79" s="5"/>
      <c r="T79" s="5"/>
      <c r="U79" s="5"/>
      <c r="V79" s="5"/>
      <c r="W79" s="14"/>
      <c r="X79" s="14"/>
      <c r="Y79" s="14"/>
      <c r="Z79" s="14"/>
    </row>
    <row r="80" ht="15.75" customHeight="1">
      <c r="A80" s="5"/>
      <c r="B80" s="5"/>
      <c r="C80" s="6"/>
      <c r="D80" s="6"/>
      <c r="E80" s="5"/>
      <c r="F80" s="5"/>
      <c r="G80" s="5"/>
      <c r="H80" s="5"/>
      <c r="I80" s="5"/>
      <c r="J80" s="5"/>
      <c r="K80" s="5"/>
      <c r="L80" s="5"/>
      <c r="M80" s="5"/>
      <c r="N80" s="5"/>
      <c r="O80" s="5"/>
      <c r="P80" s="5"/>
      <c r="Q80" s="5"/>
      <c r="R80" s="5"/>
      <c r="S80" s="5"/>
      <c r="T80" s="5"/>
      <c r="U80" s="5"/>
      <c r="V80" s="5"/>
      <c r="W80" s="14"/>
      <c r="X80" s="14"/>
      <c r="Y80" s="14"/>
      <c r="Z80" s="14"/>
    </row>
    <row r="81" ht="15.75" customHeight="1">
      <c r="A81" s="5"/>
      <c r="B81" s="5"/>
      <c r="C81" s="6"/>
      <c r="D81" s="6"/>
      <c r="E81" s="5"/>
      <c r="F81" s="5"/>
      <c r="G81" s="5"/>
      <c r="H81" s="5"/>
      <c r="I81" s="5"/>
      <c r="J81" s="5"/>
      <c r="K81" s="5"/>
      <c r="L81" s="5"/>
      <c r="M81" s="5"/>
      <c r="N81" s="5"/>
      <c r="O81" s="5"/>
      <c r="P81" s="5"/>
      <c r="Q81" s="5"/>
      <c r="R81" s="5"/>
      <c r="S81" s="5"/>
      <c r="T81" s="5"/>
      <c r="U81" s="5"/>
      <c r="V81" s="5"/>
      <c r="W81" s="14"/>
      <c r="X81" s="14"/>
      <c r="Y81" s="14"/>
      <c r="Z81" s="14"/>
    </row>
    <row r="82" ht="15.75" customHeight="1">
      <c r="A82" s="5"/>
      <c r="B82" s="5"/>
      <c r="C82" s="6"/>
      <c r="D82" s="6"/>
      <c r="E82" s="5"/>
      <c r="F82" s="5"/>
      <c r="G82" s="5"/>
      <c r="H82" s="5"/>
      <c r="I82" s="5"/>
      <c r="J82" s="5"/>
      <c r="K82" s="5"/>
      <c r="L82" s="5"/>
      <c r="M82" s="5"/>
      <c r="N82" s="5"/>
      <c r="O82" s="5"/>
      <c r="P82" s="5"/>
      <c r="Q82" s="5"/>
      <c r="R82" s="5"/>
      <c r="S82" s="5"/>
      <c r="T82" s="5"/>
      <c r="U82" s="5"/>
      <c r="V82" s="5"/>
      <c r="W82" s="14"/>
      <c r="X82" s="14"/>
      <c r="Y82" s="14"/>
      <c r="Z82" s="14"/>
    </row>
    <row r="83" ht="15.75" customHeight="1">
      <c r="A83" s="5"/>
      <c r="B83" s="5"/>
      <c r="C83" s="6"/>
      <c r="D83" s="6"/>
      <c r="E83" s="5"/>
      <c r="F83" s="5"/>
      <c r="G83" s="5"/>
      <c r="H83" s="5"/>
      <c r="I83" s="5"/>
      <c r="J83" s="5"/>
      <c r="K83" s="5"/>
      <c r="L83" s="5"/>
      <c r="M83" s="5"/>
      <c r="N83" s="5"/>
      <c r="O83" s="5"/>
      <c r="P83" s="5"/>
      <c r="Q83" s="5"/>
      <c r="R83" s="5"/>
      <c r="S83" s="5"/>
      <c r="T83" s="5"/>
      <c r="U83" s="5"/>
      <c r="V83" s="5"/>
      <c r="W83" s="14"/>
      <c r="X83" s="14"/>
      <c r="Y83" s="14"/>
      <c r="Z83" s="14"/>
    </row>
    <row r="84" ht="15.75" customHeight="1">
      <c r="A84" s="5"/>
      <c r="B84" s="5"/>
      <c r="C84" s="6"/>
      <c r="D84" s="6"/>
      <c r="E84" s="5"/>
      <c r="F84" s="5"/>
      <c r="G84" s="5"/>
      <c r="H84" s="5"/>
      <c r="I84" s="5"/>
      <c r="J84" s="5"/>
      <c r="K84" s="5"/>
      <c r="L84" s="5"/>
      <c r="M84" s="5"/>
      <c r="N84" s="5"/>
      <c r="O84" s="5"/>
      <c r="P84" s="5"/>
      <c r="Q84" s="5"/>
      <c r="R84" s="5"/>
      <c r="S84" s="5"/>
      <c r="T84" s="5"/>
      <c r="U84" s="5"/>
      <c r="V84" s="5"/>
      <c r="W84" s="14"/>
      <c r="X84" s="14"/>
      <c r="Y84" s="14"/>
      <c r="Z84" s="14"/>
    </row>
    <row r="85" ht="15.75" customHeight="1">
      <c r="A85" s="5"/>
      <c r="B85" s="5"/>
      <c r="C85" s="6"/>
      <c r="D85" s="6"/>
      <c r="E85" s="5"/>
      <c r="F85" s="5"/>
      <c r="G85" s="5"/>
      <c r="H85" s="5"/>
      <c r="I85" s="5"/>
      <c r="J85" s="5"/>
      <c r="K85" s="5"/>
      <c r="L85" s="5"/>
      <c r="M85" s="5"/>
      <c r="N85" s="5"/>
      <c r="O85" s="5"/>
      <c r="P85" s="5"/>
      <c r="Q85" s="5"/>
      <c r="R85" s="5"/>
      <c r="S85" s="5"/>
      <c r="T85" s="5"/>
      <c r="U85" s="5"/>
      <c r="V85" s="5"/>
      <c r="W85" s="14"/>
      <c r="X85" s="14"/>
      <c r="Y85" s="14"/>
      <c r="Z85" s="14"/>
    </row>
    <row r="86" ht="15.75" customHeight="1">
      <c r="A86" s="5"/>
      <c r="B86" s="5"/>
      <c r="C86" s="6"/>
      <c r="D86" s="6"/>
      <c r="E86" s="5"/>
      <c r="F86" s="5"/>
      <c r="G86" s="5"/>
      <c r="H86" s="5"/>
      <c r="I86" s="5"/>
      <c r="J86" s="5"/>
      <c r="K86" s="5"/>
      <c r="L86" s="5"/>
      <c r="M86" s="5"/>
      <c r="N86" s="5"/>
      <c r="O86" s="5"/>
      <c r="P86" s="5"/>
      <c r="Q86" s="5"/>
      <c r="R86" s="5"/>
      <c r="S86" s="5"/>
      <c r="T86" s="5"/>
      <c r="U86" s="5"/>
      <c r="V86" s="5"/>
      <c r="W86" s="14"/>
      <c r="X86" s="14"/>
      <c r="Y86" s="14"/>
      <c r="Z86" s="14"/>
    </row>
    <row r="87" ht="15.75" customHeight="1">
      <c r="A87" s="5"/>
      <c r="B87" s="5"/>
      <c r="C87" s="6"/>
      <c r="D87" s="6"/>
      <c r="E87" s="5"/>
      <c r="F87" s="5"/>
      <c r="G87" s="5"/>
      <c r="H87" s="5"/>
      <c r="I87" s="5"/>
      <c r="J87" s="5"/>
      <c r="K87" s="5"/>
      <c r="L87" s="5"/>
      <c r="M87" s="5"/>
      <c r="N87" s="5"/>
      <c r="O87" s="5"/>
      <c r="P87" s="5"/>
      <c r="Q87" s="5"/>
      <c r="R87" s="5"/>
      <c r="S87" s="5"/>
      <c r="T87" s="5"/>
      <c r="U87" s="5"/>
      <c r="V87" s="5"/>
      <c r="W87" s="14"/>
      <c r="X87" s="14"/>
      <c r="Y87" s="14"/>
      <c r="Z87" s="14"/>
    </row>
    <row r="88" ht="15.75" customHeight="1">
      <c r="A88" s="5"/>
      <c r="B88" s="5"/>
      <c r="C88" s="6"/>
      <c r="D88" s="6"/>
      <c r="E88" s="5"/>
      <c r="F88" s="5"/>
      <c r="G88" s="5"/>
      <c r="H88" s="5"/>
      <c r="I88" s="5"/>
      <c r="J88" s="5"/>
      <c r="K88" s="5"/>
      <c r="L88" s="5"/>
      <c r="M88" s="5"/>
      <c r="N88" s="5"/>
      <c r="O88" s="5"/>
      <c r="P88" s="5"/>
      <c r="Q88" s="5"/>
      <c r="R88" s="5"/>
      <c r="S88" s="5"/>
      <c r="T88" s="5"/>
      <c r="U88" s="5"/>
      <c r="V88" s="5"/>
      <c r="W88" s="14"/>
      <c r="X88" s="14"/>
      <c r="Y88" s="14"/>
      <c r="Z88" s="14"/>
    </row>
    <row r="89" ht="15.75" customHeight="1">
      <c r="A89" s="5"/>
      <c r="B89" s="5"/>
      <c r="C89" s="6"/>
      <c r="D89" s="6"/>
      <c r="E89" s="5"/>
      <c r="F89" s="5"/>
      <c r="G89" s="5"/>
      <c r="H89" s="5"/>
      <c r="I89" s="5"/>
      <c r="J89" s="5"/>
      <c r="K89" s="5"/>
      <c r="L89" s="5"/>
      <c r="M89" s="5"/>
      <c r="N89" s="5"/>
      <c r="O89" s="5"/>
      <c r="P89" s="5"/>
      <c r="Q89" s="5"/>
      <c r="R89" s="5"/>
      <c r="S89" s="5"/>
      <c r="T89" s="5"/>
      <c r="U89" s="5"/>
      <c r="V89" s="5"/>
      <c r="W89" s="14"/>
      <c r="X89" s="14"/>
      <c r="Y89" s="14"/>
      <c r="Z89" s="14"/>
    </row>
    <row r="90" ht="15.75" customHeight="1">
      <c r="A90" s="5"/>
      <c r="B90" s="5"/>
      <c r="C90" s="6"/>
      <c r="D90" s="6"/>
      <c r="E90" s="5"/>
      <c r="F90" s="5"/>
      <c r="G90" s="5"/>
      <c r="H90" s="5"/>
      <c r="I90" s="5"/>
      <c r="J90" s="5"/>
      <c r="K90" s="5"/>
      <c r="L90" s="5"/>
      <c r="M90" s="5"/>
      <c r="N90" s="5"/>
      <c r="O90" s="5"/>
      <c r="P90" s="5"/>
      <c r="Q90" s="5"/>
      <c r="R90" s="5"/>
      <c r="S90" s="5"/>
      <c r="T90" s="5"/>
      <c r="U90" s="5"/>
      <c r="V90" s="5"/>
      <c r="W90" s="14"/>
      <c r="X90" s="14"/>
      <c r="Y90" s="14"/>
      <c r="Z90" s="14"/>
    </row>
    <row r="91" ht="15.75" customHeight="1">
      <c r="A91" s="5"/>
      <c r="B91" s="5"/>
      <c r="C91" s="6"/>
      <c r="D91" s="6"/>
      <c r="E91" s="5"/>
      <c r="F91" s="5"/>
      <c r="G91" s="5"/>
      <c r="H91" s="5"/>
      <c r="I91" s="5"/>
      <c r="J91" s="5"/>
      <c r="K91" s="5"/>
      <c r="L91" s="5"/>
      <c r="M91" s="5"/>
      <c r="N91" s="5"/>
      <c r="O91" s="5"/>
      <c r="P91" s="5"/>
      <c r="Q91" s="5"/>
      <c r="R91" s="5"/>
      <c r="S91" s="5"/>
      <c r="T91" s="5"/>
      <c r="U91" s="5"/>
      <c r="V91" s="5"/>
      <c r="W91" s="14"/>
      <c r="X91" s="14"/>
      <c r="Y91" s="14"/>
      <c r="Z91" s="14"/>
    </row>
    <row r="92" ht="15.75" customHeight="1">
      <c r="A92" s="5"/>
      <c r="B92" s="5"/>
      <c r="C92" s="6"/>
      <c r="D92" s="6"/>
      <c r="E92" s="5"/>
      <c r="F92" s="5"/>
      <c r="G92" s="5"/>
      <c r="H92" s="5"/>
      <c r="I92" s="5"/>
      <c r="J92" s="5"/>
      <c r="K92" s="5"/>
      <c r="L92" s="5"/>
      <c r="M92" s="5"/>
      <c r="N92" s="5"/>
      <c r="O92" s="5"/>
      <c r="P92" s="5"/>
      <c r="Q92" s="5"/>
      <c r="R92" s="5"/>
      <c r="S92" s="5"/>
      <c r="T92" s="5"/>
      <c r="U92" s="5"/>
      <c r="V92" s="5"/>
      <c r="W92" s="14"/>
      <c r="X92" s="14"/>
      <c r="Y92" s="14"/>
      <c r="Z92" s="14"/>
    </row>
    <row r="93" ht="15.75" customHeight="1">
      <c r="A93" s="5"/>
      <c r="B93" s="5"/>
      <c r="C93" s="6"/>
      <c r="D93" s="6"/>
      <c r="E93" s="5"/>
      <c r="F93" s="5"/>
      <c r="G93" s="5"/>
      <c r="H93" s="5"/>
      <c r="I93" s="5"/>
      <c r="J93" s="5"/>
      <c r="K93" s="5"/>
      <c r="L93" s="5"/>
      <c r="M93" s="5"/>
      <c r="N93" s="5"/>
      <c r="O93" s="5"/>
      <c r="P93" s="5"/>
      <c r="Q93" s="5"/>
      <c r="R93" s="5"/>
      <c r="S93" s="5"/>
      <c r="T93" s="5"/>
      <c r="U93" s="5"/>
      <c r="V93" s="5"/>
      <c r="W93" s="14"/>
      <c r="X93" s="14"/>
      <c r="Y93" s="14"/>
      <c r="Z93" s="14"/>
    </row>
    <row r="94" ht="15.75" customHeight="1">
      <c r="A94" s="5"/>
      <c r="B94" s="5"/>
      <c r="C94" s="6"/>
      <c r="D94" s="6"/>
      <c r="E94" s="5"/>
      <c r="F94" s="5"/>
      <c r="G94" s="5"/>
      <c r="H94" s="5"/>
      <c r="I94" s="5"/>
      <c r="J94" s="5"/>
      <c r="K94" s="5"/>
      <c r="L94" s="5"/>
      <c r="M94" s="5"/>
      <c r="N94" s="5"/>
      <c r="O94" s="5"/>
      <c r="P94" s="5"/>
      <c r="Q94" s="5"/>
      <c r="R94" s="5"/>
      <c r="S94" s="5"/>
      <c r="T94" s="5"/>
      <c r="U94" s="5"/>
      <c r="V94" s="5"/>
      <c r="W94" s="14"/>
      <c r="X94" s="14"/>
      <c r="Y94" s="14"/>
      <c r="Z94" s="14"/>
    </row>
    <row r="95" ht="15.75" customHeight="1">
      <c r="A95" s="5"/>
      <c r="B95" s="5"/>
      <c r="C95" s="6"/>
      <c r="D95" s="6"/>
      <c r="E95" s="5"/>
      <c r="F95" s="5"/>
      <c r="G95" s="5"/>
      <c r="H95" s="5"/>
      <c r="I95" s="5"/>
      <c r="J95" s="5"/>
      <c r="K95" s="5"/>
      <c r="L95" s="5"/>
      <c r="M95" s="5"/>
      <c r="N95" s="5"/>
      <c r="O95" s="5"/>
      <c r="P95" s="5"/>
      <c r="Q95" s="5"/>
      <c r="R95" s="5"/>
      <c r="S95" s="5"/>
      <c r="T95" s="5"/>
      <c r="U95" s="5"/>
      <c r="V95" s="5"/>
      <c r="W95" s="14"/>
      <c r="X95" s="14"/>
      <c r="Y95" s="14"/>
      <c r="Z95" s="14"/>
    </row>
    <row r="96" ht="15.75" customHeight="1">
      <c r="A96" s="5"/>
      <c r="B96" s="5"/>
      <c r="C96" s="6"/>
      <c r="D96" s="6"/>
      <c r="E96" s="5"/>
      <c r="F96" s="5"/>
      <c r="G96" s="5"/>
      <c r="H96" s="5"/>
      <c r="I96" s="5"/>
      <c r="J96" s="5"/>
      <c r="K96" s="5"/>
      <c r="L96" s="5"/>
      <c r="M96" s="5"/>
      <c r="N96" s="5"/>
      <c r="O96" s="5"/>
      <c r="P96" s="5"/>
      <c r="Q96" s="5"/>
      <c r="R96" s="5"/>
      <c r="S96" s="5"/>
      <c r="T96" s="5"/>
      <c r="U96" s="5"/>
      <c r="V96" s="5"/>
      <c r="W96" s="14"/>
      <c r="X96" s="14"/>
      <c r="Y96" s="14"/>
      <c r="Z96" s="14"/>
    </row>
    <row r="97" ht="15.75" customHeight="1">
      <c r="A97" s="5"/>
      <c r="B97" s="5"/>
      <c r="C97" s="6"/>
      <c r="D97" s="6"/>
      <c r="E97" s="5"/>
      <c r="F97" s="5"/>
      <c r="G97" s="5"/>
      <c r="H97" s="5"/>
      <c r="I97" s="5"/>
      <c r="J97" s="5"/>
      <c r="K97" s="5"/>
      <c r="L97" s="5"/>
      <c r="M97" s="5"/>
      <c r="N97" s="5"/>
      <c r="O97" s="5"/>
      <c r="P97" s="5"/>
      <c r="Q97" s="5"/>
      <c r="R97" s="5"/>
      <c r="S97" s="5"/>
      <c r="T97" s="5"/>
      <c r="U97" s="5"/>
      <c r="V97" s="5"/>
      <c r="W97" s="14"/>
      <c r="X97" s="14"/>
      <c r="Y97" s="14"/>
      <c r="Z97" s="14"/>
    </row>
    <row r="98" ht="15.75" customHeight="1">
      <c r="A98" s="5"/>
      <c r="B98" s="5"/>
      <c r="C98" s="6"/>
      <c r="D98" s="6"/>
      <c r="E98" s="5"/>
      <c r="F98" s="5"/>
      <c r="G98" s="5"/>
      <c r="H98" s="5"/>
      <c r="I98" s="5"/>
      <c r="J98" s="5"/>
      <c r="K98" s="5"/>
      <c r="L98" s="5"/>
      <c r="M98" s="5"/>
      <c r="N98" s="5"/>
      <c r="O98" s="5"/>
      <c r="P98" s="5"/>
      <c r="Q98" s="5"/>
      <c r="R98" s="5"/>
      <c r="S98" s="5"/>
      <c r="T98" s="5"/>
      <c r="U98" s="5"/>
      <c r="V98" s="5"/>
      <c r="W98" s="14"/>
      <c r="X98" s="14"/>
      <c r="Y98" s="14"/>
      <c r="Z98" s="14"/>
    </row>
    <row r="99" ht="15.75" customHeight="1">
      <c r="A99" s="5"/>
      <c r="B99" s="5"/>
      <c r="C99" s="6"/>
      <c r="D99" s="6"/>
      <c r="E99" s="5"/>
      <c r="F99" s="5"/>
      <c r="G99" s="5"/>
      <c r="H99" s="5"/>
      <c r="I99" s="5"/>
      <c r="J99" s="5"/>
      <c r="K99" s="5"/>
      <c r="L99" s="5"/>
      <c r="M99" s="5"/>
      <c r="N99" s="5"/>
      <c r="O99" s="5"/>
      <c r="P99" s="5"/>
      <c r="Q99" s="5"/>
      <c r="R99" s="5"/>
      <c r="S99" s="5"/>
      <c r="T99" s="5"/>
      <c r="U99" s="5"/>
      <c r="V99" s="5"/>
      <c r="W99" s="14"/>
      <c r="X99" s="14"/>
      <c r="Y99" s="14"/>
      <c r="Z99" s="14"/>
    </row>
    <row r="100" ht="15.75" customHeight="1">
      <c r="A100" s="5"/>
      <c r="B100" s="5"/>
      <c r="C100" s="6"/>
      <c r="D100" s="6"/>
      <c r="E100" s="5"/>
      <c r="F100" s="5"/>
      <c r="G100" s="5"/>
      <c r="H100" s="5"/>
      <c r="I100" s="5"/>
      <c r="J100" s="5"/>
      <c r="K100" s="5"/>
      <c r="L100" s="5"/>
      <c r="M100" s="5"/>
      <c r="N100" s="5"/>
      <c r="O100" s="5"/>
      <c r="P100" s="5"/>
      <c r="Q100" s="5"/>
      <c r="R100" s="5"/>
      <c r="S100" s="5"/>
      <c r="T100" s="5"/>
      <c r="U100" s="5"/>
      <c r="V100" s="5"/>
      <c r="W100" s="14"/>
      <c r="X100" s="14"/>
      <c r="Y100" s="14"/>
      <c r="Z100" s="14"/>
    </row>
    <row r="101" ht="15.75" customHeight="1">
      <c r="A101" s="5"/>
      <c r="B101" s="5"/>
      <c r="C101" s="6"/>
      <c r="D101" s="6"/>
      <c r="E101" s="5"/>
      <c r="F101" s="5"/>
      <c r="G101" s="5"/>
      <c r="H101" s="5"/>
      <c r="I101" s="5"/>
      <c r="J101" s="5"/>
      <c r="K101" s="5"/>
      <c r="L101" s="5"/>
      <c r="M101" s="5"/>
      <c r="N101" s="5"/>
      <c r="O101" s="5"/>
      <c r="P101" s="5"/>
      <c r="Q101" s="5"/>
      <c r="R101" s="5"/>
      <c r="S101" s="5"/>
      <c r="T101" s="5"/>
      <c r="U101" s="5"/>
      <c r="V101" s="5"/>
      <c r="W101" s="14"/>
      <c r="X101" s="14"/>
      <c r="Y101" s="14"/>
      <c r="Z101" s="14"/>
    </row>
    <row r="102" ht="15.75" customHeight="1">
      <c r="A102" s="5"/>
      <c r="B102" s="5"/>
      <c r="C102" s="6"/>
      <c r="D102" s="6"/>
      <c r="E102" s="5"/>
      <c r="F102" s="5"/>
      <c r="G102" s="5"/>
      <c r="H102" s="5"/>
      <c r="I102" s="5"/>
      <c r="J102" s="5"/>
      <c r="K102" s="5"/>
      <c r="L102" s="5"/>
      <c r="M102" s="5"/>
      <c r="N102" s="5"/>
      <c r="O102" s="5"/>
      <c r="P102" s="5"/>
      <c r="Q102" s="5"/>
      <c r="R102" s="5"/>
      <c r="S102" s="5"/>
      <c r="T102" s="5"/>
      <c r="U102" s="5"/>
      <c r="V102" s="5"/>
      <c r="W102" s="14"/>
      <c r="X102" s="14"/>
      <c r="Y102" s="14"/>
      <c r="Z102" s="14"/>
    </row>
    <row r="103" ht="15.75" customHeight="1">
      <c r="A103" s="5"/>
      <c r="B103" s="5"/>
      <c r="C103" s="6"/>
      <c r="D103" s="6"/>
      <c r="E103" s="5"/>
      <c r="F103" s="5"/>
      <c r="G103" s="5"/>
      <c r="H103" s="5"/>
      <c r="I103" s="5"/>
      <c r="J103" s="5"/>
      <c r="K103" s="5"/>
      <c r="L103" s="5"/>
      <c r="M103" s="5"/>
      <c r="N103" s="5"/>
      <c r="O103" s="5"/>
      <c r="P103" s="5"/>
      <c r="Q103" s="5"/>
      <c r="R103" s="5"/>
      <c r="S103" s="5"/>
      <c r="T103" s="5"/>
      <c r="U103" s="5"/>
      <c r="V103" s="5"/>
      <c r="W103" s="14"/>
      <c r="X103" s="14"/>
      <c r="Y103" s="14"/>
      <c r="Z103" s="14"/>
    </row>
    <row r="104" ht="15.75" customHeight="1">
      <c r="A104" s="5"/>
      <c r="B104" s="5"/>
      <c r="C104" s="6"/>
      <c r="D104" s="6"/>
      <c r="E104" s="5"/>
      <c r="F104" s="5"/>
      <c r="G104" s="5"/>
      <c r="H104" s="5"/>
      <c r="I104" s="5"/>
      <c r="J104" s="5"/>
      <c r="K104" s="5"/>
      <c r="L104" s="5"/>
      <c r="M104" s="5"/>
      <c r="N104" s="5"/>
      <c r="O104" s="5"/>
      <c r="P104" s="5"/>
      <c r="Q104" s="5"/>
      <c r="R104" s="5"/>
      <c r="S104" s="5"/>
      <c r="T104" s="5"/>
      <c r="U104" s="5"/>
      <c r="V104" s="5"/>
      <c r="W104" s="14"/>
      <c r="X104" s="14"/>
      <c r="Y104" s="14"/>
      <c r="Z104" s="14"/>
    </row>
    <row r="105" ht="15.75" customHeight="1">
      <c r="A105" s="5"/>
      <c r="B105" s="5"/>
      <c r="C105" s="6"/>
      <c r="D105" s="6"/>
      <c r="E105" s="5"/>
      <c r="F105" s="5"/>
      <c r="G105" s="5"/>
      <c r="H105" s="5"/>
      <c r="I105" s="5"/>
      <c r="J105" s="5"/>
      <c r="K105" s="5"/>
      <c r="L105" s="5"/>
      <c r="M105" s="5"/>
      <c r="N105" s="5"/>
      <c r="O105" s="5"/>
      <c r="P105" s="5"/>
      <c r="Q105" s="5"/>
      <c r="R105" s="5"/>
      <c r="S105" s="5"/>
      <c r="T105" s="5"/>
      <c r="U105" s="5"/>
      <c r="V105" s="5"/>
      <c r="W105" s="14"/>
      <c r="X105" s="14"/>
      <c r="Y105" s="14"/>
      <c r="Z105" s="14"/>
    </row>
    <row r="106" ht="15.75" customHeight="1">
      <c r="A106" s="5"/>
      <c r="B106" s="5"/>
      <c r="C106" s="6"/>
      <c r="D106" s="6"/>
      <c r="E106" s="5"/>
      <c r="F106" s="5"/>
      <c r="G106" s="5"/>
      <c r="H106" s="5"/>
      <c r="I106" s="5"/>
      <c r="J106" s="5"/>
      <c r="K106" s="5"/>
      <c r="L106" s="5"/>
      <c r="M106" s="5"/>
      <c r="N106" s="5"/>
      <c r="O106" s="5"/>
      <c r="P106" s="5"/>
      <c r="Q106" s="5"/>
      <c r="R106" s="5"/>
      <c r="S106" s="5"/>
      <c r="T106" s="5"/>
      <c r="U106" s="5"/>
      <c r="V106" s="5"/>
      <c r="W106" s="14"/>
      <c r="X106" s="14"/>
      <c r="Y106" s="14"/>
      <c r="Z106" s="14"/>
    </row>
    <row r="107" ht="15.75" customHeight="1">
      <c r="A107" s="5"/>
      <c r="B107" s="5"/>
      <c r="C107" s="6"/>
      <c r="D107" s="6"/>
      <c r="E107" s="5"/>
      <c r="F107" s="5"/>
      <c r="G107" s="5"/>
      <c r="H107" s="5"/>
      <c r="I107" s="5"/>
      <c r="J107" s="5"/>
      <c r="K107" s="5"/>
      <c r="L107" s="5"/>
      <c r="M107" s="5"/>
      <c r="N107" s="5"/>
      <c r="O107" s="5"/>
      <c r="P107" s="5"/>
      <c r="Q107" s="5"/>
      <c r="R107" s="5"/>
      <c r="S107" s="5"/>
      <c r="T107" s="5"/>
      <c r="U107" s="5"/>
      <c r="V107" s="5"/>
      <c r="W107" s="14"/>
      <c r="X107" s="14"/>
      <c r="Y107" s="14"/>
      <c r="Z107" s="14"/>
    </row>
    <row r="108" ht="15.75" customHeight="1">
      <c r="A108" s="5"/>
      <c r="B108" s="5"/>
      <c r="C108" s="6"/>
      <c r="D108" s="6"/>
      <c r="E108" s="5"/>
      <c r="F108" s="5"/>
      <c r="G108" s="5"/>
      <c r="H108" s="5"/>
      <c r="I108" s="5"/>
      <c r="J108" s="5"/>
      <c r="K108" s="5"/>
      <c r="L108" s="5"/>
      <c r="M108" s="5"/>
      <c r="N108" s="5"/>
      <c r="O108" s="5"/>
      <c r="P108" s="5"/>
      <c r="Q108" s="5"/>
      <c r="R108" s="5"/>
      <c r="S108" s="5"/>
      <c r="T108" s="5"/>
      <c r="U108" s="5"/>
      <c r="V108" s="5"/>
      <c r="W108" s="14"/>
      <c r="X108" s="14"/>
      <c r="Y108" s="14"/>
      <c r="Z108" s="14"/>
    </row>
    <row r="109" ht="15.75" customHeight="1">
      <c r="A109" s="5"/>
      <c r="B109" s="5"/>
      <c r="C109" s="6"/>
      <c r="D109" s="6"/>
      <c r="E109" s="5"/>
      <c r="F109" s="5"/>
      <c r="G109" s="5"/>
      <c r="H109" s="5"/>
      <c r="I109" s="5"/>
      <c r="J109" s="5"/>
      <c r="K109" s="5"/>
      <c r="L109" s="5"/>
      <c r="M109" s="5"/>
      <c r="N109" s="5"/>
      <c r="O109" s="5"/>
      <c r="P109" s="5"/>
      <c r="Q109" s="5"/>
      <c r="R109" s="5"/>
      <c r="S109" s="5"/>
      <c r="T109" s="5"/>
      <c r="U109" s="5"/>
      <c r="V109" s="5"/>
      <c r="W109" s="14"/>
      <c r="X109" s="14"/>
      <c r="Y109" s="14"/>
      <c r="Z109" s="14"/>
    </row>
    <row r="110" ht="15.75" customHeight="1">
      <c r="A110" s="5"/>
      <c r="B110" s="5"/>
      <c r="C110" s="6"/>
      <c r="D110" s="6"/>
      <c r="E110" s="5"/>
      <c r="F110" s="5"/>
      <c r="G110" s="5"/>
      <c r="H110" s="5"/>
      <c r="I110" s="5"/>
      <c r="J110" s="5"/>
      <c r="K110" s="5"/>
      <c r="L110" s="5"/>
      <c r="M110" s="5"/>
      <c r="N110" s="5"/>
      <c r="O110" s="5"/>
      <c r="P110" s="5"/>
      <c r="Q110" s="5"/>
      <c r="R110" s="5"/>
      <c r="S110" s="5"/>
      <c r="T110" s="5"/>
      <c r="U110" s="5"/>
      <c r="V110" s="5"/>
      <c r="W110" s="14"/>
      <c r="X110" s="14"/>
      <c r="Y110" s="14"/>
      <c r="Z110" s="14"/>
    </row>
    <row r="111" ht="15.75" customHeight="1">
      <c r="A111" s="5"/>
      <c r="B111" s="5"/>
      <c r="C111" s="6"/>
      <c r="D111" s="6"/>
      <c r="E111" s="5"/>
      <c r="F111" s="5"/>
      <c r="G111" s="5"/>
      <c r="H111" s="5"/>
      <c r="I111" s="5"/>
      <c r="J111" s="5"/>
      <c r="K111" s="5"/>
      <c r="L111" s="5"/>
      <c r="M111" s="5"/>
      <c r="N111" s="5"/>
      <c r="O111" s="5"/>
      <c r="P111" s="5"/>
      <c r="Q111" s="5"/>
      <c r="R111" s="5"/>
      <c r="S111" s="5"/>
      <c r="T111" s="5"/>
      <c r="U111" s="5"/>
      <c r="V111" s="5"/>
      <c r="W111" s="14"/>
      <c r="X111" s="14"/>
      <c r="Y111" s="14"/>
      <c r="Z111" s="14"/>
    </row>
    <row r="112" ht="15.75" customHeight="1">
      <c r="A112" s="5"/>
      <c r="B112" s="5"/>
      <c r="C112" s="6"/>
      <c r="D112" s="6"/>
      <c r="E112" s="5"/>
      <c r="F112" s="5"/>
      <c r="G112" s="5"/>
      <c r="H112" s="5"/>
      <c r="I112" s="5"/>
      <c r="J112" s="5"/>
      <c r="K112" s="5"/>
      <c r="L112" s="5"/>
      <c r="M112" s="5"/>
      <c r="N112" s="5"/>
      <c r="O112" s="5"/>
      <c r="P112" s="5"/>
      <c r="Q112" s="5"/>
      <c r="R112" s="5"/>
      <c r="S112" s="5"/>
      <c r="T112" s="5"/>
      <c r="U112" s="5"/>
      <c r="V112" s="5"/>
      <c r="W112" s="14"/>
      <c r="X112" s="14"/>
      <c r="Y112" s="14"/>
      <c r="Z112" s="14"/>
    </row>
    <row r="113" ht="15.75" customHeight="1">
      <c r="A113" s="5"/>
      <c r="B113" s="5"/>
      <c r="C113" s="6"/>
      <c r="D113" s="6"/>
      <c r="E113" s="5"/>
      <c r="F113" s="5"/>
      <c r="G113" s="5"/>
      <c r="H113" s="5"/>
      <c r="I113" s="5"/>
      <c r="J113" s="5"/>
      <c r="K113" s="5"/>
      <c r="L113" s="5"/>
      <c r="M113" s="5"/>
      <c r="N113" s="5"/>
      <c r="O113" s="5"/>
      <c r="P113" s="5"/>
      <c r="Q113" s="5"/>
      <c r="R113" s="5"/>
      <c r="S113" s="5"/>
      <c r="T113" s="5"/>
      <c r="U113" s="5"/>
      <c r="V113" s="5"/>
      <c r="W113" s="14"/>
      <c r="X113" s="14"/>
      <c r="Y113" s="14"/>
      <c r="Z113" s="14"/>
    </row>
    <row r="114" ht="15.75" customHeight="1">
      <c r="A114" s="5"/>
      <c r="B114" s="5"/>
      <c r="C114" s="6"/>
      <c r="D114" s="6"/>
      <c r="E114" s="5"/>
      <c r="F114" s="5"/>
      <c r="G114" s="5"/>
      <c r="H114" s="5"/>
      <c r="I114" s="5"/>
      <c r="J114" s="5"/>
      <c r="K114" s="5"/>
      <c r="L114" s="5"/>
      <c r="M114" s="5"/>
      <c r="N114" s="5"/>
      <c r="O114" s="5"/>
      <c r="P114" s="5"/>
      <c r="Q114" s="5"/>
      <c r="R114" s="5"/>
      <c r="S114" s="5"/>
      <c r="T114" s="5"/>
      <c r="U114" s="5"/>
      <c r="V114" s="5"/>
      <c r="W114" s="14"/>
      <c r="X114" s="14"/>
      <c r="Y114" s="14"/>
      <c r="Z114" s="14"/>
    </row>
    <row r="115" ht="15.75" customHeight="1">
      <c r="A115" s="5"/>
      <c r="B115" s="5"/>
      <c r="C115" s="6"/>
      <c r="D115" s="6"/>
      <c r="E115" s="5"/>
      <c r="F115" s="5"/>
      <c r="G115" s="5"/>
      <c r="H115" s="5"/>
      <c r="I115" s="5"/>
      <c r="J115" s="5"/>
      <c r="K115" s="5"/>
      <c r="L115" s="5"/>
      <c r="M115" s="5"/>
      <c r="N115" s="5"/>
      <c r="O115" s="5"/>
      <c r="P115" s="5"/>
      <c r="Q115" s="5"/>
      <c r="R115" s="5"/>
      <c r="S115" s="5"/>
      <c r="T115" s="5"/>
      <c r="U115" s="5"/>
      <c r="V115" s="5"/>
      <c r="W115" s="14"/>
      <c r="X115" s="14"/>
      <c r="Y115" s="14"/>
      <c r="Z115" s="14"/>
    </row>
    <row r="116" ht="15.75" customHeight="1">
      <c r="A116" s="5"/>
      <c r="B116" s="5"/>
      <c r="C116" s="6"/>
      <c r="D116" s="6"/>
      <c r="E116" s="5"/>
      <c r="F116" s="5"/>
      <c r="G116" s="5"/>
      <c r="H116" s="5"/>
      <c r="I116" s="5"/>
      <c r="J116" s="5"/>
      <c r="K116" s="5"/>
      <c r="L116" s="5"/>
      <c r="M116" s="5"/>
      <c r="N116" s="5"/>
      <c r="O116" s="5"/>
      <c r="P116" s="5"/>
      <c r="Q116" s="5"/>
      <c r="R116" s="5"/>
      <c r="S116" s="5"/>
      <c r="T116" s="5"/>
      <c r="U116" s="5"/>
      <c r="V116" s="5"/>
      <c r="W116" s="14"/>
      <c r="X116" s="14"/>
      <c r="Y116" s="14"/>
      <c r="Z116" s="14"/>
    </row>
    <row r="117" ht="15.75" customHeight="1">
      <c r="A117" s="5"/>
      <c r="B117" s="5"/>
      <c r="C117" s="6"/>
      <c r="D117" s="6"/>
      <c r="E117" s="5"/>
      <c r="F117" s="5"/>
      <c r="G117" s="5"/>
      <c r="H117" s="5"/>
      <c r="I117" s="5"/>
      <c r="J117" s="5"/>
      <c r="K117" s="5"/>
      <c r="L117" s="5"/>
      <c r="M117" s="5"/>
      <c r="N117" s="5"/>
      <c r="O117" s="5"/>
      <c r="P117" s="5"/>
      <c r="Q117" s="5"/>
      <c r="R117" s="5"/>
      <c r="S117" s="5"/>
      <c r="T117" s="5"/>
      <c r="U117" s="5"/>
      <c r="V117" s="5"/>
      <c r="W117" s="14"/>
      <c r="X117" s="14"/>
      <c r="Y117" s="14"/>
      <c r="Z117" s="14"/>
    </row>
    <row r="118" ht="15.75" customHeight="1">
      <c r="A118" s="5"/>
      <c r="B118" s="5"/>
      <c r="C118" s="6"/>
      <c r="D118" s="6"/>
      <c r="E118" s="5"/>
      <c r="F118" s="5"/>
      <c r="G118" s="5"/>
      <c r="H118" s="5"/>
      <c r="I118" s="5"/>
      <c r="J118" s="5"/>
      <c r="K118" s="5"/>
      <c r="L118" s="5"/>
      <c r="M118" s="5"/>
      <c r="N118" s="5"/>
      <c r="O118" s="5"/>
      <c r="P118" s="5"/>
      <c r="Q118" s="5"/>
      <c r="R118" s="5"/>
      <c r="S118" s="5"/>
      <c r="T118" s="5"/>
      <c r="U118" s="5"/>
      <c r="V118" s="5"/>
      <c r="W118" s="14"/>
      <c r="X118" s="14"/>
      <c r="Y118" s="14"/>
      <c r="Z118" s="14"/>
    </row>
    <row r="119" ht="15.75" customHeight="1">
      <c r="A119" s="5"/>
      <c r="B119" s="5"/>
      <c r="C119" s="6"/>
      <c r="D119" s="6"/>
      <c r="E119" s="5"/>
      <c r="F119" s="5"/>
      <c r="G119" s="5"/>
      <c r="H119" s="5"/>
      <c r="I119" s="5"/>
      <c r="J119" s="5"/>
      <c r="K119" s="5"/>
      <c r="L119" s="5"/>
      <c r="M119" s="5"/>
      <c r="N119" s="5"/>
      <c r="O119" s="5"/>
      <c r="P119" s="5"/>
      <c r="Q119" s="5"/>
      <c r="R119" s="5"/>
      <c r="S119" s="5"/>
      <c r="T119" s="5"/>
      <c r="U119" s="5"/>
      <c r="V119" s="5"/>
      <c r="W119" s="14"/>
      <c r="X119" s="14"/>
      <c r="Y119" s="14"/>
      <c r="Z119" s="14"/>
    </row>
    <row r="120" ht="15.75" customHeight="1">
      <c r="A120" s="5"/>
      <c r="B120" s="5"/>
      <c r="C120" s="6"/>
      <c r="D120" s="6"/>
      <c r="E120" s="5"/>
      <c r="F120" s="5"/>
      <c r="G120" s="5"/>
      <c r="H120" s="5"/>
      <c r="I120" s="5"/>
      <c r="J120" s="5"/>
      <c r="K120" s="5"/>
      <c r="L120" s="5"/>
      <c r="M120" s="5"/>
      <c r="N120" s="5"/>
      <c r="O120" s="5"/>
      <c r="P120" s="5"/>
      <c r="Q120" s="5"/>
      <c r="R120" s="5"/>
      <c r="S120" s="5"/>
      <c r="T120" s="5"/>
      <c r="U120" s="5"/>
      <c r="V120" s="5"/>
      <c r="W120" s="14"/>
      <c r="X120" s="14"/>
      <c r="Y120" s="14"/>
      <c r="Z120" s="14"/>
    </row>
    <row r="121" ht="15.75" customHeight="1">
      <c r="A121" s="5"/>
      <c r="B121" s="5"/>
      <c r="C121" s="6"/>
      <c r="D121" s="6"/>
      <c r="E121" s="5"/>
      <c r="F121" s="5"/>
      <c r="G121" s="5"/>
      <c r="H121" s="5"/>
      <c r="I121" s="5"/>
      <c r="J121" s="5"/>
      <c r="K121" s="5"/>
      <c r="L121" s="5"/>
      <c r="M121" s="5"/>
      <c r="N121" s="5"/>
      <c r="O121" s="5"/>
      <c r="P121" s="5"/>
      <c r="Q121" s="5"/>
      <c r="R121" s="5"/>
      <c r="S121" s="5"/>
      <c r="T121" s="5"/>
      <c r="U121" s="5"/>
      <c r="V121" s="5"/>
      <c r="W121" s="14"/>
      <c r="X121" s="14"/>
      <c r="Y121" s="14"/>
      <c r="Z121" s="14"/>
    </row>
    <row r="122" ht="15.75" customHeight="1">
      <c r="A122" s="5"/>
      <c r="B122" s="5"/>
      <c r="C122" s="6"/>
      <c r="D122" s="6"/>
      <c r="E122" s="5"/>
      <c r="F122" s="5"/>
      <c r="G122" s="5"/>
      <c r="H122" s="5"/>
      <c r="I122" s="5"/>
      <c r="J122" s="5"/>
      <c r="K122" s="5"/>
      <c r="L122" s="5"/>
      <c r="M122" s="5"/>
      <c r="N122" s="5"/>
      <c r="O122" s="5"/>
      <c r="P122" s="5"/>
      <c r="Q122" s="5"/>
      <c r="R122" s="5"/>
      <c r="S122" s="5"/>
      <c r="T122" s="5"/>
      <c r="U122" s="5"/>
      <c r="V122" s="5"/>
      <c r="W122" s="14"/>
      <c r="X122" s="14"/>
      <c r="Y122" s="14"/>
      <c r="Z122" s="14"/>
    </row>
    <row r="123" ht="15.75" customHeight="1">
      <c r="A123" s="5"/>
      <c r="B123" s="5"/>
      <c r="C123" s="6"/>
      <c r="D123" s="6"/>
      <c r="E123" s="5"/>
      <c r="F123" s="5"/>
      <c r="G123" s="5"/>
      <c r="H123" s="5"/>
      <c r="I123" s="5"/>
      <c r="J123" s="5"/>
      <c r="K123" s="5"/>
      <c r="L123" s="5"/>
      <c r="M123" s="5"/>
      <c r="N123" s="5"/>
      <c r="O123" s="5"/>
      <c r="P123" s="5"/>
      <c r="Q123" s="5"/>
      <c r="R123" s="5"/>
      <c r="S123" s="5"/>
      <c r="T123" s="5"/>
      <c r="U123" s="5"/>
      <c r="V123" s="5"/>
      <c r="W123" s="14"/>
      <c r="X123" s="14"/>
      <c r="Y123" s="14"/>
      <c r="Z123" s="14"/>
    </row>
    <row r="124" ht="15.75" customHeight="1">
      <c r="A124" s="5"/>
      <c r="B124" s="5"/>
      <c r="C124" s="6"/>
      <c r="D124" s="6"/>
      <c r="E124" s="5"/>
      <c r="F124" s="5"/>
      <c r="G124" s="5"/>
      <c r="H124" s="5"/>
      <c r="I124" s="5"/>
      <c r="J124" s="5"/>
      <c r="K124" s="5"/>
      <c r="L124" s="5"/>
      <c r="M124" s="5"/>
      <c r="N124" s="5"/>
      <c r="O124" s="5"/>
      <c r="P124" s="5"/>
      <c r="Q124" s="5"/>
      <c r="R124" s="5"/>
      <c r="S124" s="5"/>
      <c r="T124" s="5"/>
      <c r="U124" s="5"/>
      <c r="V124" s="5"/>
      <c r="W124" s="14"/>
      <c r="X124" s="14"/>
      <c r="Y124" s="14"/>
      <c r="Z124" s="14"/>
    </row>
    <row r="125" ht="15.75" customHeight="1">
      <c r="A125" s="5"/>
      <c r="B125" s="5"/>
      <c r="C125" s="6"/>
      <c r="D125" s="6"/>
      <c r="E125" s="5"/>
      <c r="F125" s="5"/>
      <c r="G125" s="5"/>
      <c r="H125" s="5"/>
      <c r="I125" s="5"/>
      <c r="J125" s="5"/>
      <c r="K125" s="5"/>
      <c r="L125" s="5"/>
      <c r="M125" s="5"/>
      <c r="N125" s="5"/>
      <c r="O125" s="5"/>
      <c r="P125" s="5"/>
      <c r="Q125" s="5"/>
      <c r="R125" s="5"/>
      <c r="S125" s="5"/>
      <c r="T125" s="5"/>
      <c r="U125" s="5"/>
      <c r="V125" s="5"/>
      <c r="W125" s="14"/>
      <c r="X125" s="14"/>
      <c r="Y125" s="14"/>
      <c r="Z125" s="14"/>
    </row>
    <row r="126" ht="15.75" customHeight="1">
      <c r="A126" s="5"/>
      <c r="B126" s="5"/>
      <c r="C126" s="6"/>
      <c r="D126" s="6"/>
      <c r="E126" s="5"/>
      <c r="F126" s="5"/>
      <c r="G126" s="5"/>
      <c r="H126" s="5"/>
      <c r="I126" s="5"/>
      <c r="J126" s="5"/>
      <c r="K126" s="5"/>
      <c r="L126" s="5"/>
      <c r="M126" s="5"/>
      <c r="N126" s="5"/>
      <c r="O126" s="5"/>
      <c r="P126" s="5"/>
      <c r="Q126" s="5"/>
      <c r="R126" s="5"/>
      <c r="S126" s="5"/>
      <c r="T126" s="5"/>
      <c r="U126" s="5"/>
      <c r="V126" s="5"/>
      <c r="W126" s="14"/>
      <c r="X126" s="14"/>
      <c r="Y126" s="14"/>
      <c r="Z126" s="14"/>
    </row>
    <row r="127" ht="15.75" customHeight="1">
      <c r="A127" s="5"/>
      <c r="B127" s="5"/>
      <c r="C127" s="6"/>
      <c r="D127" s="6"/>
      <c r="E127" s="5"/>
      <c r="F127" s="5"/>
      <c r="G127" s="5"/>
      <c r="H127" s="5"/>
      <c r="I127" s="5"/>
      <c r="J127" s="5"/>
      <c r="K127" s="5"/>
      <c r="L127" s="5"/>
      <c r="M127" s="5"/>
      <c r="N127" s="5"/>
      <c r="O127" s="5"/>
      <c r="P127" s="5"/>
      <c r="Q127" s="5"/>
      <c r="R127" s="5"/>
      <c r="S127" s="5"/>
      <c r="T127" s="5"/>
      <c r="U127" s="5"/>
      <c r="V127" s="5"/>
      <c r="W127" s="14"/>
      <c r="X127" s="14"/>
      <c r="Y127" s="14"/>
      <c r="Z127" s="14"/>
    </row>
    <row r="128" ht="15.75" customHeight="1">
      <c r="A128" s="5"/>
      <c r="B128" s="5"/>
      <c r="C128" s="6"/>
      <c r="D128" s="6"/>
      <c r="E128" s="5"/>
      <c r="F128" s="5"/>
      <c r="G128" s="5"/>
      <c r="H128" s="5"/>
      <c r="I128" s="5"/>
      <c r="J128" s="5"/>
      <c r="K128" s="5"/>
      <c r="L128" s="5"/>
      <c r="M128" s="5"/>
      <c r="N128" s="5"/>
      <c r="O128" s="5"/>
      <c r="P128" s="5"/>
      <c r="Q128" s="5"/>
      <c r="R128" s="5"/>
      <c r="S128" s="5"/>
      <c r="T128" s="5"/>
      <c r="U128" s="5"/>
      <c r="V128" s="5"/>
      <c r="W128" s="14"/>
      <c r="X128" s="14"/>
      <c r="Y128" s="14"/>
      <c r="Z128" s="14"/>
    </row>
    <row r="129" ht="15.75" customHeight="1">
      <c r="A129" s="5"/>
      <c r="B129" s="5"/>
      <c r="C129" s="6"/>
      <c r="D129" s="6"/>
      <c r="E129" s="5"/>
      <c r="F129" s="5"/>
      <c r="G129" s="5"/>
      <c r="H129" s="5"/>
      <c r="I129" s="5"/>
      <c r="J129" s="5"/>
      <c r="K129" s="5"/>
      <c r="L129" s="5"/>
      <c r="M129" s="5"/>
      <c r="N129" s="5"/>
      <c r="O129" s="5"/>
      <c r="P129" s="5"/>
      <c r="Q129" s="5"/>
      <c r="R129" s="5"/>
      <c r="S129" s="5"/>
      <c r="T129" s="5"/>
      <c r="U129" s="5"/>
      <c r="V129" s="5"/>
      <c r="W129" s="14"/>
      <c r="X129" s="14"/>
      <c r="Y129" s="14"/>
      <c r="Z129" s="14"/>
    </row>
    <row r="130" ht="15.75" customHeight="1">
      <c r="A130" s="5"/>
      <c r="B130" s="5"/>
      <c r="C130" s="6"/>
      <c r="D130" s="6"/>
      <c r="E130" s="5"/>
      <c r="F130" s="5"/>
      <c r="G130" s="5"/>
      <c r="H130" s="5"/>
      <c r="I130" s="5"/>
      <c r="J130" s="5"/>
      <c r="K130" s="5"/>
      <c r="L130" s="5"/>
      <c r="M130" s="5"/>
      <c r="N130" s="5"/>
      <c r="O130" s="5"/>
      <c r="P130" s="5"/>
      <c r="Q130" s="5"/>
      <c r="R130" s="5"/>
      <c r="S130" s="5"/>
      <c r="T130" s="5"/>
      <c r="U130" s="5"/>
      <c r="V130" s="5"/>
      <c r="W130" s="14"/>
      <c r="X130" s="14"/>
      <c r="Y130" s="14"/>
      <c r="Z130" s="14"/>
    </row>
    <row r="131" ht="15.75" customHeight="1">
      <c r="A131" s="5"/>
      <c r="B131" s="5"/>
      <c r="C131" s="6"/>
      <c r="D131" s="6"/>
      <c r="E131" s="5"/>
      <c r="F131" s="5"/>
      <c r="G131" s="5"/>
      <c r="H131" s="5"/>
      <c r="I131" s="5"/>
      <c r="J131" s="5"/>
      <c r="K131" s="5"/>
      <c r="L131" s="5"/>
      <c r="M131" s="5"/>
      <c r="N131" s="5"/>
      <c r="O131" s="5"/>
      <c r="P131" s="5"/>
      <c r="Q131" s="5"/>
      <c r="R131" s="5"/>
      <c r="S131" s="5"/>
      <c r="T131" s="5"/>
      <c r="U131" s="5"/>
      <c r="V131" s="5"/>
      <c r="W131" s="14"/>
      <c r="X131" s="14"/>
      <c r="Y131" s="14"/>
      <c r="Z131" s="14"/>
    </row>
    <row r="132" ht="15.75" customHeight="1">
      <c r="A132" s="5"/>
      <c r="B132" s="5"/>
      <c r="C132" s="6"/>
      <c r="D132" s="6"/>
      <c r="E132" s="5"/>
      <c r="F132" s="5"/>
      <c r="G132" s="5"/>
      <c r="H132" s="5"/>
      <c r="I132" s="5"/>
      <c r="J132" s="5"/>
      <c r="K132" s="5"/>
      <c r="L132" s="5"/>
      <c r="M132" s="5"/>
      <c r="N132" s="5"/>
      <c r="O132" s="5"/>
      <c r="P132" s="5"/>
      <c r="Q132" s="5"/>
      <c r="R132" s="5"/>
      <c r="S132" s="5"/>
      <c r="T132" s="5"/>
      <c r="U132" s="5"/>
      <c r="V132" s="5"/>
      <c r="W132" s="14"/>
      <c r="X132" s="14"/>
      <c r="Y132" s="14"/>
      <c r="Z132" s="14"/>
    </row>
    <row r="133" ht="15.75" customHeight="1">
      <c r="A133" s="5"/>
      <c r="B133" s="5"/>
      <c r="C133" s="6"/>
      <c r="D133" s="6"/>
      <c r="E133" s="5"/>
      <c r="F133" s="5"/>
      <c r="G133" s="5"/>
      <c r="H133" s="5"/>
      <c r="I133" s="5"/>
      <c r="J133" s="5"/>
      <c r="K133" s="5"/>
      <c r="L133" s="5"/>
      <c r="M133" s="5"/>
      <c r="N133" s="5"/>
      <c r="O133" s="5"/>
      <c r="P133" s="5"/>
      <c r="Q133" s="5"/>
      <c r="R133" s="5"/>
      <c r="S133" s="5"/>
      <c r="T133" s="5"/>
      <c r="U133" s="5"/>
      <c r="V133" s="5"/>
      <c r="W133" s="14"/>
      <c r="X133" s="14"/>
      <c r="Y133" s="14"/>
      <c r="Z133" s="14"/>
    </row>
    <row r="134" ht="15.75" customHeight="1">
      <c r="A134" s="5"/>
      <c r="B134" s="5"/>
      <c r="C134" s="6"/>
      <c r="D134" s="6"/>
      <c r="E134" s="5"/>
      <c r="F134" s="5"/>
      <c r="G134" s="5"/>
      <c r="H134" s="5"/>
      <c r="I134" s="5"/>
      <c r="J134" s="5"/>
      <c r="K134" s="5"/>
      <c r="L134" s="5"/>
      <c r="M134" s="5"/>
      <c r="N134" s="5"/>
      <c r="O134" s="5"/>
      <c r="P134" s="5"/>
      <c r="Q134" s="5"/>
      <c r="R134" s="5"/>
      <c r="S134" s="5"/>
      <c r="T134" s="5"/>
      <c r="U134" s="5"/>
      <c r="V134" s="5"/>
      <c r="W134" s="14"/>
      <c r="X134" s="14"/>
      <c r="Y134" s="14"/>
      <c r="Z134" s="14"/>
    </row>
    <row r="135" ht="15.75" customHeight="1">
      <c r="A135" s="5"/>
      <c r="B135" s="5"/>
      <c r="C135" s="6"/>
      <c r="D135" s="6"/>
      <c r="E135" s="5"/>
      <c r="F135" s="5"/>
      <c r="G135" s="5"/>
      <c r="H135" s="5"/>
      <c r="I135" s="5"/>
      <c r="J135" s="5"/>
      <c r="K135" s="5"/>
      <c r="L135" s="5"/>
      <c r="M135" s="5"/>
      <c r="N135" s="5"/>
      <c r="O135" s="5"/>
      <c r="P135" s="5"/>
      <c r="Q135" s="5"/>
      <c r="R135" s="5"/>
      <c r="S135" s="5"/>
      <c r="T135" s="5"/>
      <c r="U135" s="5"/>
      <c r="V135" s="5"/>
      <c r="W135" s="14"/>
      <c r="X135" s="14"/>
      <c r="Y135" s="14"/>
      <c r="Z135" s="14"/>
    </row>
    <row r="136" ht="15.75" customHeight="1">
      <c r="A136" s="5"/>
      <c r="B136" s="5"/>
      <c r="C136" s="6"/>
      <c r="D136" s="6"/>
      <c r="E136" s="5"/>
      <c r="F136" s="5"/>
      <c r="G136" s="5"/>
      <c r="H136" s="5"/>
      <c r="I136" s="5"/>
      <c r="J136" s="5"/>
      <c r="K136" s="5"/>
      <c r="L136" s="5"/>
      <c r="M136" s="5"/>
      <c r="N136" s="5"/>
      <c r="O136" s="5"/>
      <c r="P136" s="5"/>
      <c r="Q136" s="5"/>
      <c r="R136" s="5"/>
      <c r="S136" s="5"/>
      <c r="T136" s="5"/>
      <c r="U136" s="5"/>
      <c r="V136" s="5"/>
      <c r="W136" s="14"/>
      <c r="X136" s="14"/>
      <c r="Y136" s="14"/>
      <c r="Z136" s="14"/>
    </row>
    <row r="137" ht="15.75" customHeight="1">
      <c r="A137" s="5"/>
      <c r="B137" s="5"/>
      <c r="C137" s="6"/>
      <c r="D137" s="6"/>
      <c r="E137" s="5"/>
      <c r="F137" s="5"/>
      <c r="G137" s="5"/>
      <c r="H137" s="5"/>
      <c r="I137" s="5"/>
      <c r="J137" s="5"/>
      <c r="K137" s="5"/>
      <c r="L137" s="5"/>
      <c r="M137" s="5"/>
      <c r="N137" s="5"/>
      <c r="O137" s="5"/>
      <c r="P137" s="5"/>
      <c r="Q137" s="5"/>
      <c r="R137" s="5"/>
      <c r="S137" s="5"/>
      <c r="T137" s="5"/>
      <c r="U137" s="5"/>
      <c r="V137" s="5"/>
      <c r="W137" s="14"/>
      <c r="X137" s="14"/>
      <c r="Y137" s="14"/>
      <c r="Z137" s="14"/>
    </row>
    <row r="138" ht="15.75" customHeight="1">
      <c r="A138" s="5"/>
      <c r="B138" s="5"/>
      <c r="C138" s="6"/>
      <c r="D138" s="6"/>
      <c r="E138" s="5"/>
      <c r="F138" s="5"/>
      <c r="G138" s="5"/>
      <c r="H138" s="5"/>
      <c r="I138" s="5"/>
      <c r="J138" s="5"/>
      <c r="K138" s="5"/>
      <c r="L138" s="5"/>
      <c r="M138" s="5"/>
      <c r="N138" s="5"/>
      <c r="O138" s="5"/>
      <c r="P138" s="5"/>
      <c r="Q138" s="5"/>
      <c r="R138" s="5"/>
      <c r="S138" s="5"/>
      <c r="T138" s="5"/>
      <c r="U138" s="5"/>
      <c r="V138" s="5"/>
      <c r="W138" s="14"/>
      <c r="X138" s="14"/>
      <c r="Y138" s="14"/>
      <c r="Z138" s="14"/>
    </row>
    <row r="139" ht="15.75" customHeight="1">
      <c r="A139" s="5"/>
      <c r="B139" s="5"/>
      <c r="C139" s="6"/>
      <c r="D139" s="6"/>
      <c r="E139" s="5"/>
      <c r="F139" s="5"/>
      <c r="G139" s="5"/>
      <c r="H139" s="5"/>
      <c r="I139" s="5"/>
      <c r="J139" s="5"/>
      <c r="K139" s="5"/>
      <c r="L139" s="5"/>
      <c r="M139" s="5"/>
      <c r="N139" s="5"/>
      <c r="O139" s="5"/>
      <c r="P139" s="5"/>
      <c r="Q139" s="5"/>
      <c r="R139" s="5"/>
      <c r="S139" s="5"/>
      <c r="T139" s="5"/>
      <c r="U139" s="5"/>
      <c r="V139" s="5"/>
      <c r="W139" s="14"/>
      <c r="X139" s="14"/>
      <c r="Y139" s="14"/>
      <c r="Z139" s="14"/>
    </row>
    <row r="140" ht="15.75" customHeight="1">
      <c r="A140" s="5"/>
      <c r="B140" s="5"/>
      <c r="C140" s="6"/>
      <c r="D140" s="6"/>
      <c r="E140" s="5"/>
      <c r="F140" s="5"/>
      <c r="G140" s="5"/>
      <c r="H140" s="5"/>
      <c r="I140" s="5"/>
      <c r="J140" s="5"/>
      <c r="K140" s="5"/>
      <c r="L140" s="5"/>
      <c r="M140" s="5"/>
      <c r="N140" s="5"/>
      <c r="O140" s="5"/>
      <c r="P140" s="5"/>
      <c r="Q140" s="5"/>
      <c r="R140" s="5"/>
      <c r="S140" s="5"/>
      <c r="T140" s="5"/>
      <c r="U140" s="5"/>
      <c r="V140" s="5"/>
      <c r="W140" s="14"/>
      <c r="X140" s="14"/>
      <c r="Y140" s="14"/>
      <c r="Z140" s="14"/>
    </row>
    <row r="141" ht="15.75" customHeight="1">
      <c r="A141" s="5"/>
      <c r="B141" s="5"/>
      <c r="C141" s="6"/>
      <c r="D141" s="6"/>
      <c r="E141" s="5"/>
      <c r="F141" s="5"/>
      <c r="G141" s="5"/>
      <c r="H141" s="5"/>
      <c r="I141" s="5"/>
      <c r="J141" s="5"/>
      <c r="K141" s="5"/>
      <c r="L141" s="5"/>
      <c r="M141" s="5"/>
      <c r="N141" s="5"/>
      <c r="O141" s="5"/>
      <c r="P141" s="5"/>
      <c r="Q141" s="5"/>
      <c r="R141" s="5"/>
      <c r="S141" s="5"/>
      <c r="T141" s="5"/>
      <c r="U141" s="5"/>
      <c r="V141" s="5"/>
      <c r="W141" s="14"/>
      <c r="X141" s="14"/>
      <c r="Y141" s="14"/>
      <c r="Z141" s="14"/>
    </row>
    <row r="142" ht="15.75" customHeight="1">
      <c r="A142" s="5"/>
      <c r="B142" s="5"/>
      <c r="C142" s="6"/>
      <c r="D142" s="6"/>
      <c r="E142" s="5"/>
      <c r="F142" s="5"/>
      <c r="G142" s="5"/>
      <c r="H142" s="5"/>
      <c r="I142" s="5"/>
      <c r="J142" s="5"/>
      <c r="K142" s="5"/>
      <c r="L142" s="5"/>
      <c r="M142" s="5"/>
      <c r="N142" s="5"/>
      <c r="O142" s="5"/>
      <c r="P142" s="5"/>
      <c r="Q142" s="5"/>
      <c r="R142" s="5"/>
      <c r="S142" s="5"/>
      <c r="T142" s="5"/>
      <c r="U142" s="5"/>
      <c r="V142" s="5"/>
      <c r="W142" s="14"/>
      <c r="X142" s="14"/>
      <c r="Y142" s="14"/>
      <c r="Z142" s="14"/>
    </row>
    <row r="143" ht="15.75" customHeight="1">
      <c r="A143" s="5"/>
      <c r="B143" s="5"/>
      <c r="C143" s="6"/>
      <c r="D143" s="6"/>
      <c r="E143" s="5"/>
      <c r="F143" s="5"/>
      <c r="G143" s="5"/>
      <c r="H143" s="5"/>
      <c r="I143" s="5"/>
      <c r="J143" s="5"/>
      <c r="K143" s="5"/>
      <c r="L143" s="5"/>
      <c r="M143" s="5"/>
      <c r="N143" s="5"/>
      <c r="O143" s="5"/>
      <c r="P143" s="5"/>
      <c r="Q143" s="5"/>
      <c r="R143" s="5"/>
      <c r="S143" s="5"/>
      <c r="T143" s="5"/>
      <c r="U143" s="5"/>
      <c r="V143" s="5"/>
      <c r="W143" s="14"/>
      <c r="X143" s="14"/>
      <c r="Y143" s="14"/>
      <c r="Z143" s="14"/>
    </row>
    <row r="144" ht="15.75" customHeight="1">
      <c r="A144" s="5"/>
      <c r="B144" s="5"/>
      <c r="C144" s="6"/>
      <c r="D144" s="6"/>
      <c r="E144" s="5"/>
      <c r="F144" s="5"/>
      <c r="G144" s="5"/>
      <c r="H144" s="5"/>
      <c r="I144" s="5"/>
      <c r="J144" s="5"/>
      <c r="K144" s="5"/>
      <c r="L144" s="5"/>
      <c r="M144" s="5"/>
      <c r="N144" s="5"/>
      <c r="O144" s="5"/>
      <c r="P144" s="5"/>
      <c r="Q144" s="5"/>
      <c r="R144" s="5"/>
      <c r="S144" s="5"/>
      <c r="T144" s="5"/>
      <c r="U144" s="5"/>
      <c r="V144" s="5"/>
      <c r="W144" s="14"/>
      <c r="X144" s="14"/>
      <c r="Y144" s="14"/>
      <c r="Z144" s="14"/>
    </row>
    <row r="145" ht="15.75" customHeight="1">
      <c r="A145" s="5"/>
      <c r="B145" s="5"/>
      <c r="C145" s="6"/>
      <c r="D145" s="6"/>
      <c r="E145" s="5"/>
      <c r="F145" s="5"/>
      <c r="G145" s="5"/>
      <c r="H145" s="5"/>
      <c r="I145" s="5"/>
      <c r="J145" s="5"/>
      <c r="K145" s="5"/>
      <c r="L145" s="5"/>
      <c r="M145" s="5"/>
      <c r="N145" s="5"/>
      <c r="O145" s="5"/>
      <c r="P145" s="5"/>
      <c r="Q145" s="5"/>
      <c r="R145" s="5"/>
      <c r="S145" s="5"/>
      <c r="T145" s="5"/>
      <c r="U145" s="5"/>
      <c r="V145" s="5"/>
      <c r="W145" s="14"/>
      <c r="X145" s="14"/>
      <c r="Y145" s="14"/>
      <c r="Z145" s="14"/>
    </row>
    <row r="146" ht="15.75" customHeight="1">
      <c r="A146" s="5"/>
      <c r="B146" s="5"/>
      <c r="C146" s="6"/>
      <c r="D146" s="6"/>
      <c r="E146" s="5"/>
      <c r="F146" s="5"/>
      <c r="G146" s="5"/>
      <c r="H146" s="5"/>
      <c r="I146" s="5"/>
      <c r="J146" s="5"/>
      <c r="K146" s="5"/>
      <c r="L146" s="5"/>
      <c r="M146" s="5"/>
      <c r="N146" s="5"/>
      <c r="O146" s="5"/>
      <c r="P146" s="5"/>
      <c r="Q146" s="5"/>
      <c r="R146" s="5"/>
      <c r="S146" s="5"/>
      <c r="T146" s="5"/>
      <c r="U146" s="5"/>
      <c r="V146" s="5"/>
      <c r="W146" s="14"/>
      <c r="X146" s="14"/>
      <c r="Y146" s="14"/>
      <c r="Z146" s="14"/>
    </row>
    <row r="147" ht="15.75" customHeight="1">
      <c r="A147" s="5"/>
      <c r="B147" s="5"/>
      <c r="C147" s="6"/>
      <c r="D147" s="6"/>
      <c r="E147" s="5"/>
      <c r="F147" s="5"/>
      <c r="G147" s="5"/>
      <c r="H147" s="5"/>
      <c r="I147" s="5"/>
      <c r="J147" s="5"/>
      <c r="K147" s="5"/>
      <c r="L147" s="5"/>
      <c r="M147" s="5"/>
      <c r="N147" s="5"/>
      <c r="O147" s="5"/>
      <c r="P147" s="5"/>
      <c r="Q147" s="5"/>
      <c r="R147" s="5"/>
      <c r="S147" s="5"/>
      <c r="T147" s="5"/>
      <c r="U147" s="5"/>
      <c r="V147" s="5"/>
      <c r="W147" s="14"/>
      <c r="X147" s="14"/>
      <c r="Y147" s="14"/>
      <c r="Z147" s="14"/>
    </row>
    <row r="148" ht="15.75" customHeight="1">
      <c r="A148" s="5"/>
      <c r="B148" s="5"/>
      <c r="C148" s="6"/>
      <c r="D148" s="6"/>
      <c r="E148" s="5"/>
      <c r="F148" s="5"/>
      <c r="G148" s="5"/>
      <c r="H148" s="5"/>
      <c r="I148" s="5"/>
      <c r="J148" s="5"/>
      <c r="K148" s="5"/>
      <c r="L148" s="5"/>
      <c r="M148" s="5"/>
      <c r="N148" s="5"/>
      <c r="O148" s="5"/>
      <c r="P148" s="5"/>
      <c r="Q148" s="5"/>
      <c r="R148" s="5"/>
      <c r="S148" s="5"/>
      <c r="T148" s="5"/>
      <c r="U148" s="5"/>
      <c r="V148" s="5"/>
      <c r="W148" s="14"/>
      <c r="X148" s="14"/>
      <c r="Y148" s="14"/>
      <c r="Z148" s="14"/>
    </row>
    <row r="149" ht="15.75" customHeight="1">
      <c r="A149" s="5"/>
      <c r="B149" s="5"/>
      <c r="C149" s="6"/>
      <c r="D149" s="6"/>
      <c r="E149" s="5"/>
      <c r="F149" s="5"/>
      <c r="G149" s="5"/>
      <c r="H149" s="5"/>
      <c r="I149" s="5"/>
      <c r="J149" s="5"/>
      <c r="K149" s="5"/>
      <c r="L149" s="5"/>
      <c r="M149" s="5"/>
      <c r="N149" s="5"/>
      <c r="O149" s="5"/>
      <c r="P149" s="5"/>
      <c r="Q149" s="5"/>
      <c r="R149" s="5"/>
      <c r="S149" s="5"/>
      <c r="T149" s="5"/>
      <c r="U149" s="5"/>
      <c r="V149" s="5"/>
      <c r="W149" s="14"/>
      <c r="X149" s="14"/>
      <c r="Y149" s="14"/>
      <c r="Z149" s="14"/>
    </row>
    <row r="150" ht="15.75" customHeight="1">
      <c r="A150" s="5"/>
      <c r="B150" s="5"/>
      <c r="C150" s="6"/>
      <c r="D150" s="6"/>
      <c r="E150" s="5"/>
      <c r="F150" s="5"/>
      <c r="G150" s="5"/>
      <c r="H150" s="5"/>
      <c r="I150" s="5"/>
      <c r="J150" s="5"/>
      <c r="K150" s="5"/>
      <c r="L150" s="5"/>
      <c r="M150" s="5"/>
      <c r="N150" s="5"/>
      <c r="O150" s="5"/>
      <c r="P150" s="5"/>
      <c r="Q150" s="5"/>
      <c r="R150" s="5"/>
      <c r="S150" s="5"/>
      <c r="T150" s="5"/>
      <c r="U150" s="5"/>
      <c r="V150" s="5"/>
      <c r="W150" s="14"/>
      <c r="X150" s="14"/>
      <c r="Y150" s="14"/>
      <c r="Z150" s="14"/>
    </row>
    <row r="151" ht="15.75" customHeight="1">
      <c r="A151" s="5"/>
      <c r="B151" s="5"/>
      <c r="C151" s="6"/>
      <c r="D151" s="6"/>
      <c r="E151" s="5"/>
      <c r="F151" s="5"/>
      <c r="G151" s="5"/>
      <c r="H151" s="5"/>
      <c r="I151" s="5"/>
      <c r="J151" s="5"/>
      <c r="K151" s="5"/>
      <c r="L151" s="5"/>
      <c r="M151" s="5"/>
      <c r="N151" s="5"/>
      <c r="O151" s="5"/>
      <c r="P151" s="5"/>
      <c r="Q151" s="5"/>
      <c r="R151" s="5"/>
      <c r="S151" s="5"/>
      <c r="T151" s="5"/>
      <c r="U151" s="5"/>
      <c r="V151" s="5"/>
      <c r="W151" s="14"/>
      <c r="X151" s="14"/>
      <c r="Y151" s="14"/>
      <c r="Z151" s="14"/>
    </row>
    <row r="152" ht="15.75" customHeight="1">
      <c r="A152" s="5"/>
      <c r="B152" s="5"/>
      <c r="C152" s="6"/>
      <c r="D152" s="6"/>
      <c r="E152" s="5"/>
      <c r="F152" s="5"/>
      <c r="G152" s="5"/>
      <c r="H152" s="5"/>
      <c r="I152" s="5"/>
      <c r="J152" s="5"/>
      <c r="K152" s="5"/>
      <c r="L152" s="5"/>
      <c r="M152" s="5"/>
      <c r="N152" s="5"/>
      <c r="O152" s="5"/>
      <c r="P152" s="5"/>
      <c r="Q152" s="5"/>
      <c r="R152" s="5"/>
      <c r="S152" s="5"/>
      <c r="T152" s="5"/>
      <c r="U152" s="5"/>
      <c r="V152" s="5"/>
      <c r="W152" s="14"/>
      <c r="X152" s="14"/>
      <c r="Y152" s="14"/>
      <c r="Z152" s="14"/>
    </row>
    <row r="153" ht="15.75" customHeight="1">
      <c r="A153" s="5"/>
      <c r="B153" s="5"/>
      <c r="C153" s="6"/>
      <c r="D153" s="6"/>
      <c r="E153" s="5"/>
      <c r="F153" s="5"/>
      <c r="G153" s="5"/>
      <c r="H153" s="5"/>
      <c r="I153" s="5"/>
      <c r="J153" s="5"/>
      <c r="K153" s="5"/>
      <c r="L153" s="5"/>
      <c r="M153" s="5"/>
      <c r="N153" s="5"/>
      <c r="O153" s="5"/>
      <c r="P153" s="5"/>
      <c r="Q153" s="5"/>
      <c r="R153" s="5"/>
      <c r="S153" s="5"/>
      <c r="T153" s="5"/>
      <c r="U153" s="5"/>
      <c r="V153" s="5"/>
      <c r="W153" s="14"/>
      <c r="X153" s="14"/>
      <c r="Y153" s="14"/>
      <c r="Z153" s="14"/>
    </row>
    <row r="154" ht="15.75" customHeight="1">
      <c r="A154" s="5"/>
      <c r="B154" s="5"/>
      <c r="C154" s="6"/>
      <c r="D154" s="6"/>
      <c r="E154" s="5"/>
      <c r="F154" s="5"/>
      <c r="G154" s="5"/>
      <c r="H154" s="5"/>
      <c r="I154" s="5"/>
      <c r="J154" s="5"/>
      <c r="K154" s="5"/>
      <c r="L154" s="5"/>
      <c r="M154" s="5"/>
      <c r="N154" s="5"/>
      <c r="O154" s="5"/>
      <c r="P154" s="5"/>
      <c r="Q154" s="5"/>
      <c r="R154" s="5"/>
      <c r="S154" s="5"/>
      <c r="T154" s="5"/>
      <c r="U154" s="5"/>
      <c r="V154" s="5"/>
      <c r="W154" s="14"/>
      <c r="X154" s="14"/>
      <c r="Y154" s="14"/>
      <c r="Z154" s="14"/>
    </row>
    <row r="155" ht="15.75" customHeight="1">
      <c r="A155" s="5"/>
      <c r="B155" s="5"/>
      <c r="C155" s="6"/>
      <c r="D155" s="6"/>
      <c r="E155" s="5"/>
      <c r="F155" s="5"/>
      <c r="G155" s="5"/>
      <c r="H155" s="5"/>
      <c r="I155" s="5"/>
      <c r="J155" s="5"/>
      <c r="K155" s="5"/>
      <c r="L155" s="5"/>
      <c r="M155" s="5"/>
      <c r="N155" s="5"/>
      <c r="O155" s="5"/>
      <c r="P155" s="5"/>
      <c r="Q155" s="5"/>
      <c r="R155" s="5"/>
      <c r="S155" s="5"/>
      <c r="T155" s="5"/>
      <c r="U155" s="5"/>
      <c r="V155" s="5"/>
      <c r="W155" s="14"/>
      <c r="X155" s="14"/>
      <c r="Y155" s="14"/>
      <c r="Z155" s="14"/>
    </row>
    <row r="156" ht="15.75" customHeight="1">
      <c r="A156" s="5"/>
      <c r="B156" s="5"/>
      <c r="C156" s="6"/>
      <c r="D156" s="6"/>
      <c r="E156" s="5"/>
      <c r="F156" s="5"/>
      <c r="G156" s="5"/>
      <c r="H156" s="5"/>
      <c r="I156" s="5"/>
      <c r="J156" s="5"/>
      <c r="K156" s="5"/>
      <c r="L156" s="5"/>
      <c r="M156" s="5"/>
      <c r="N156" s="5"/>
      <c r="O156" s="5"/>
      <c r="P156" s="5"/>
      <c r="Q156" s="5"/>
      <c r="R156" s="5"/>
      <c r="S156" s="5"/>
      <c r="T156" s="5"/>
      <c r="U156" s="5"/>
      <c r="V156" s="5"/>
      <c r="W156" s="14"/>
      <c r="X156" s="14"/>
      <c r="Y156" s="14"/>
      <c r="Z156" s="14"/>
    </row>
    <row r="157" ht="15.75" customHeight="1">
      <c r="A157" s="5"/>
      <c r="B157" s="5"/>
      <c r="C157" s="6"/>
      <c r="D157" s="6"/>
      <c r="E157" s="5"/>
      <c r="F157" s="5"/>
      <c r="G157" s="5"/>
      <c r="H157" s="5"/>
      <c r="I157" s="5"/>
      <c r="J157" s="5"/>
      <c r="K157" s="5"/>
      <c r="L157" s="5"/>
      <c r="M157" s="5"/>
      <c r="N157" s="5"/>
      <c r="O157" s="5"/>
      <c r="P157" s="5"/>
      <c r="Q157" s="5"/>
      <c r="R157" s="5"/>
      <c r="S157" s="5"/>
      <c r="T157" s="5"/>
      <c r="U157" s="5"/>
      <c r="V157" s="5"/>
      <c r="W157" s="14"/>
      <c r="X157" s="14"/>
      <c r="Y157" s="14"/>
      <c r="Z157" s="14"/>
    </row>
    <row r="158" ht="15.75" customHeight="1">
      <c r="A158" s="5"/>
      <c r="B158" s="5"/>
      <c r="C158" s="6"/>
      <c r="D158" s="6"/>
      <c r="E158" s="5"/>
      <c r="F158" s="5"/>
      <c r="G158" s="5"/>
      <c r="H158" s="5"/>
      <c r="I158" s="5"/>
      <c r="J158" s="5"/>
      <c r="K158" s="5"/>
      <c r="L158" s="5"/>
      <c r="M158" s="5"/>
      <c r="N158" s="5"/>
      <c r="O158" s="5"/>
      <c r="P158" s="5"/>
      <c r="Q158" s="5"/>
      <c r="R158" s="5"/>
      <c r="S158" s="5"/>
      <c r="T158" s="5"/>
      <c r="U158" s="5"/>
      <c r="V158" s="5"/>
      <c r="W158" s="14"/>
      <c r="X158" s="14"/>
      <c r="Y158" s="14"/>
      <c r="Z158" s="14"/>
    </row>
    <row r="159" ht="15.75" customHeight="1">
      <c r="A159" s="5"/>
      <c r="B159" s="5"/>
      <c r="C159" s="6"/>
      <c r="D159" s="6"/>
      <c r="E159" s="5"/>
      <c r="F159" s="5"/>
      <c r="G159" s="5"/>
      <c r="H159" s="5"/>
      <c r="I159" s="5"/>
      <c r="J159" s="5"/>
      <c r="K159" s="5"/>
      <c r="L159" s="5"/>
      <c r="M159" s="5"/>
      <c r="N159" s="5"/>
      <c r="O159" s="5"/>
      <c r="P159" s="5"/>
      <c r="Q159" s="5"/>
      <c r="R159" s="5"/>
      <c r="S159" s="5"/>
      <c r="T159" s="5"/>
      <c r="U159" s="5"/>
      <c r="V159" s="5"/>
      <c r="W159" s="14"/>
      <c r="X159" s="14"/>
      <c r="Y159" s="14"/>
      <c r="Z159" s="14"/>
    </row>
    <row r="160" ht="15.75" customHeight="1">
      <c r="A160" s="5"/>
      <c r="B160" s="5"/>
      <c r="C160" s="6"/>
      <c r="D160" s="6"/>
      <c r="E160" s="5"/>
      <c r="F160" s="5"/>
      <c r="G160" s="5"/>
      <c r="H160" s="5"/>
      <c r="I160" s="5"/>
      <c r="J160" s="5"/>
      <c r="K160" s="5"/>
      <c r="L160" s="5"/>
      <c r="M160" s="5"/>
      <c r="N160" s="5"/>
      <c r="O160" s="5"/>
      <c r="P160" s="5"/>
      <c r="Q160" s="5"/>
      <c r="R160" s="5"/>
      <c r="S160" s="5"/>
      <c r="T160" s="5"/>
      <c r="U160" s="5"/>
      <c r="V160" s="5"/>
      <c r="W160" s="14"/>
      <c r="X160" s="14"/>
      <c r="Y160" s="14"/>
      <c r="Z160" s="14"/>
    </row>
    <row r="161" ht="15.75" customHeight="1">
      <c r="A161" s="5"/>
      <c r="B161" s="5"/>
      <c r="C161" s="6"/>
      <c r="D161" s="6"/>
      <c r="E161" s="5"/>
      <c r="F161" s="5"/>
      <c r="G161" s="5"/>
      <c r="H161" s="5"/>
      <c r="I161" s="5"/>
      <c r="J161" s="5"/>
      <c r="K161" s="5"/>
      <c r="L161" s="5"/>
      <c r="M161" s="5"/>
      <c r="N161" s="5"/>
      <c r="O161" s="5"/>
      <c r="P161" s="5"/>
      <c r="Q161" s="5"/>
      <c r="R161" s="5"/>
      <c r="S161" s="5"/>
      <c r="T161" s="5"/>
      <c r="U161" s="5"/>
      <c r="V161" s="5"/>
      <c r="W161" s="14"/>
      <c r="X161" s="14"/>
      <c r="Y161" s="14"/>
      <c r="Z161" s="14"/>
    </row>
    <row r="162" ht="15.75" customHeight="1">
      <c r="A162" s="5"/>
      <c r="B162" s="5"/>
      <c r="C162" s="6"/>
      <c r="D162" s="6"/>
      <c r="E162" s="5"/>
      <c r="F162" s="5"/>
      <c r="G162" s="5"/>
      <c r="H162" s="5"/>
      <c r="I162" s="5"/>
      <c r="J162" s="5"/>
      <c r="K162" s="5"/>
      <c r="L162" s="5"/>
      <c r="M162" s="5"/>
      <c r="N162" s="5"/>
      <c r="O162" s="5"/>
      <c r="P162" s="5"/>
      <c r="Q162" s="5"/>
      <c r="R162" s="5"/>
      <c r="S162" s="5"/>
      <c r="T162" s="5"/>
      <c r="U162" s="5"/>
      <c r="V162" s="5"/>
      <c r="W162" s="14"/>
      <c r="X162" s="14"/>
      <c r="Y162" s="14"/>
      <c r="Z162" s="14"/>
    </row>
    <row r="163" ht="15.75" customHeight="1">
      <c r="A163" s="5"/>
      <c r="B163" s="5"/>
      <c r="C163" s="6"/>
      <c r="D163" s="6"/>
      <c r="E163" s="5"/>
      <c r="F163" s="5"/>
      <c r="G163" s="5"/>
      <c r="H163" s="5"/>
      <c r="I163" s="5"/>
      <c r="J163" s="5"/>
      <c r="K163" s="5"/>
      <c r="L163" s="5"/>
      <c r="M163" s="5"/>
      <c r="N163" s="5"/>
      <c r="O163" s="5"/>
      <c r="P163" s="5"/>
      <c r="Q163" s="5"/>
      <c r="R163" s="5"/>
      <c r="S163" s="5"/>
      <c r="T163" s="5"/>
      <c r="U163" s="5"/>
      <c r="V163" s="5"/>
      <c r="W163" s="14"/>
      <c r="X163" s="14"/>
      <c r="Y163" s="14"/>
      <c r="Z163" s="14"/>
    </row>
    <row r="164" ht="15.75" customHeight="1">
      <c r="A164" s="5"/>
      <c r="B164" s="5"/>
      <c r="C164" s="6"/>
      <c r="D164" s="6"/>
      <c r="E164" s="5"/>
      <c r="F164" s="5"/>
      <c r="G164" s="5"/>
      <c r="H164" s="5"/>
      <c r="I164" s="5"/>
      <c r="J164" s="5"/>
      <c r="K164" s="5"/>
      <c r="L164" s="5"/>
      <c r="M164" s="5"/>
      <c r="N164" s="5"/>
      <c r="O164" s="5"/>
      <c r="P164" s="5"/>
      <c r="Q164" s="5"/>
      <c r="R164" s="5"/>
      <c r="S164" s="5"/>
      <c r="T164" s="5"/>
      <c r="U164" s="5"/>
      <c r="V164" s="5"/>
      <c r="W164" s="14"/>
      <c r="X164" s="14"/>
      <c r="Y164" s="14"/>
      <c r="Z164" s="14"/>
    </row>
    <row r="165" ht="15.75" customHeight="1">
      <c r="A165" s="5"/>
      <c r="B165" s="5"/>
      <c r="C165" s="6"/>
      <c r="D165" s="6"/>
      <c r="E165" s="5"/>
      <c r="F165" s="5"/>
      <c r="G165" s="5"/>
      <c r="H165" s="5"/>
      <c r="I165" s="5"/>
      <c r="J165" s="5"/>
      <c r="K165" s="5"/>
      <c r="L165" s="5"/>
      <c r="M165" s="5"/>
      <c r="N165" s="5"/>
      <c r="O165" s="5"/>
      <c r="P165" s="5"/>
      <c r="Q165" s="5"/>
      <c r="R165" s="5"/>
      <c r="S165" s="5"/>
      <c r="T165" s="5"/>
      <c r="U165" s="5"/>
      <c r="V165" s="5"/>
      <c r="W165" s="14"/>
      <c r="X165" s="14"/>
      <c r="Y165" s="14"/>
      <c r="Z165" s="14"/>
    </row>
    <row r="166" ht="15.75" customHeight="1">
      <c r="A166" s="5"/>
      <c r="B166" s="5"/>
      <c r="C166" s="6"/>
      <c r="D166" s="6"/>
      <c r="E166" s="5"/>
      <c r="F166" s="5"/>
      <c r="G166" s="5"/>
      <c r="H166" s="5"/>
      <c r="I166" s="5"/>
      <c r="J166" s="5"/>
      <c r="K166" s="5"/>
      <c r="L166" s="5"/>
      <c r="M166" s="5"/>
      <c r="N166" s="5"/>
      <c r="O166" s="5"/>
      <c r="P166" s="5"/>
      <c r="Q166" s="5"/>
      <c r="R166" s="5"/>
      <c r="S166" s="5"/>
      <c r="T166" s="5"/>
      <c r="U166" s="5"/>
      <c r="V166" s="5"/>
      <c r="W166" s="14"/>
      <c r="X166" s="14"/>
      <c r="Y166" s="14"/>
      <c r="Z166" s="14"/>
    </row>
    <row r="167" ht="15.75" customHeight="1">
      <c r="A167" s="5"/>
      <c r="B167" s="5"/>
      <c r="C167" s="6"/>
      <c r="D167" s="6"/>
      <c r="E167" s="5"/>
      <c r="F167" s="5"/>
      <c r="G167" s="5"/>
      <c r="H167" s="5"/>
      <c r="I167" s="5"/>
      <c r="J167" s="5"/>
      <c r="K167" s="5"/>
      <c r="L167" s="5"/>
      <c r="M167" s="5"/>
      <c r="N167" s="5"/>
      <c r="O167" s="5"/>
      <c r="P167" s="5"/>
      <c r="Q167" s="5"/>
      <c r="R167" s="5"/>
      <c r="S167" s="5"/>
      <c r="T167" s="5"/>
      <c r="U167" s="5"/>
      <c r="V167" s="5"/>
      <c r="W167" s="14"/>
      <c r="X167" s="14"/>
      <c r="Y167" s="14"/>
      <c r="Z167" s="14"/>
    </row>
    <row r="168" ht="15.75" customHeight="1">
      <c r="A168" s="5"/>
      <c r="B168" s="5"/>
      <c r="C168" s="6"/>
      <c r="D168" s="6"/>
      <c r="E168" s="5"/>
      <c r="F168" s="5"/>
      <c r="G168" s="5"/>
      <c r="H168" s="5"/>
      <c r="I168" s="5"/>
      <c r="J168" s="5"/>
      <c r="K168" s="5"/>
      <c r="L168" s="5"/>
      <c r="M168" s="5"/>
      <c r="N168" s="5"/>
      <c r="O168" s="5"/>
      <c r="P168" s="5"/>
      <c r="Q168" s="5"/>
      <c r="R168" s="5"/>
      <c r="S168" s="5"/>
      <c r="T168" s="5"/>
      <c r="U168" s="5"/>
      <c r="V168" s="5"/>
      <c r="W168" s="14"/>
      <c r="X168" s="14"/>
      <c r="Y168" s="14"/>
      <c r="Z168" s="14"/>
    </row>
    <row r="169" ht="15.75" customHeight="1">
      <c r="A169" s="5"/>
      <c r="B169" s="5"/>
      <c r="C169" s="6"/>
      <c r="D169" s="6"/>
      <c r="E169" s="5"/>
      <c r="F169" s="5"/>
      <c r="G169" s="5"/>
      <c r="H169" s="5"/>
      <c r="I169" s="5"/>
      <c r="J169" s="5"/>
      <c r="K169" s="5"/>
      <c r="L169" s="5"/>
      <c r="M169" s="5"/>
      <c r="N169" s="5"/>
      <c r="O169" s="5"/>
      <c r="P169" s="5"/>
      <c r="Q169" s="5"/>
      <c r="R169" s="5"/>
      <c r="S169" s="5"/>
      <c r="T169" s="5"/>
      <c r="U169" s="5"/>
      <c r="V169" s="5"/>
      <c r="W169" s="14"/>
      <c r="X169" s="14"/>
      <c r="Y169" s="14"/>
      <c r="Z169" s="14"/>
    </row>
    <row r="170" ht="15.75" customHeight="1">
      <c r="A170" s="5"/>
      <c r="B170" s="5"/>
      <c r="C170" s="6"/>
      <c r="D170" s="6"/>
      <c r="E170" s="5"/>
      <c r="F170" s="5"/>
      <c r="G170" s="5"/>
      <c r="H170" s="5"/>
      <c r="I170" s="5"/>
      <c r="J170" s="5"/>
      <c r="K170" s="5"/>
      <c r="L170" s="5"/>
      <c r="M170" s="5"/>
      <c r="N170" s="5"/>
      <c r="O170" s="5"/>
      <c r="P170" s="5"/>
      <c r="Q170" s="5"/>
      <c r="R170" s="5"/>
      <c r="S170" s="5"/>
      <c r="T170" s="5"/>
      <c r="U170" s="5"/>
      <c r="V170" s="5"/>
      <c r="W170" s="14"/>
      <c r="X170" s="14"/>
      <c r="Y170" s="14"/>
      <c r="Z170" s="14"/>
    </row>
    <row r="171" ht="15.75" customHeight="1">
      <c r="A171" s="5"/>
      <c r="B171" s="5"/>
      <c r="C171" s="6"/>
      <c r="D171" s="6"/>
      <c r="E171" s="5"/>
      <c r="F171" s="5"/>
      <c r="G171" s="5"/>
      <c r="H171" s="5"/>
      <c r="I171" s="5"/>
      <c r="J171" s="5"/>
      <c r="K171" s="5"/>
      <c r="L171" s="5"/>
      <c r="M171" s="5"/>
      <c r="N171" s="5"/>
      <c r="O171" s="5"/>
      <c r="P171" s="5"/>
      <c r="Q171" s="5"/>
      <c r="R171" s="5"/>
      <c r="S171" s="5"/>
      <c r="T171" s="5"/>
      <c r="U171" s="5"/>
      <c r="V171" s="5"/>
      <c r="W171" s="14"/>
      <c r="X171" s="14"/>
      <c r="Y171" s="14"/>
      <c r="Z171" s="14"/>
    </row>
    <row r="172" ht="15.75" customHeight="1">
      <c r="A172" s="5"/>
      <c r="B172" s="5"/>
      <c r="C172" s="6"/>
      <c r="D172" s="6"/>
      <c r="E172" s="5"/>
      <c r="F172" s="5"/>
      <c r="G172" s="5"/>
      <c r="H172" s="5"/>
      <c r="I172" s="5"/>
      <c r="J172" s="5"/>
      <c r="K172" s="5"/>
      <c r="L172" s="5"/>
      <c r="M172" s="5"/>
      <c r="N172" s="5"/>
      <c r="O172" s="5"/>
      <c r="P172" s="5"/>
      <c r="Q172" s="5"/>
      <c r="R172" s="5"/>
      <c r="S172" s="5"/>
      <c r="T172" s="5"/>
      <c r="U172" s="5"/>
      <c r="V172" s="5"/>
      <c r="W172" s="14"/>
      <c r="X172" s="14"/>
      <c r="Y172" s="14"/>
      <c r="Z172" s="14"/>
    </row>
    <row r="173" ht="15.75" customHeight="1">
      <c r="A173" s="5"/>
      <c r="B173" s="5"/>
      <c r="C173" s="6"/>
      <c r="D173" s="6"/>
      <c r="E173" s="5"/>
      <c r="F173" s="5"/>
      <c r="G173" s="5"/>
      <c r="H173" s="5"/>
      <c r="I173" s="5"/>
      <c r="J173" s="5"/>
      <c r="K173" s="5"/>
      <c r="L173" s="5"/>
      <c r="M173" s="5"/>
      <c r="N173" s="5"/>
      <c r="O173" s="5"/>
      <c r="P173" s="5"/>
      <c r="Q173" s="5"/>
      <c r="R173" s="5"/>
      <c r="S173" s="5"/>
      <c r="T173" s="5"/>
      <c r="U173" s="5"/>
      <c r="V173" s="5"/>
      <c r="W173" s="14"/>
      <c r="X173" s="14"/>
      <c r="Y173" s="14"/>
      <c r="Z173" s="14"/>
    </row>
    <row r="174" ht="15.75" customHeight="1">
      <c r="A174" s="5"/>
      <c r="B174" s="5"/>
      <c r="C174" s="6"/>
      <c r="D174" s="6"/>
      <c r="E174" s="5"/>
      <c r="F174" s="5"/>
      <c r="G174" s="5"/>
      <c r="H174" s="5"/>
      <c r="I174" s="5"/>
      <c r="J174" s="5"/>
      <c r="K174" s="5"/>
      <c r="L174" s="5"/>
      <c r="M174" s="5"/>
      <c r="N174" s="5"/>
      <c r="O174" s="5"/>
      <c r="P174" s="5"/>
      <c r="Q174" s="5"/>
      <c r="R174" s="5"/>
      <c r="S174" s="5"/>
      <c r="T174" s="5"/>
      <c r="U174" s="5"/>
      <c r="V174" s="5"/>
      <c r="W174" s="14"/>
      <c r="X174" s="14"/>
      <c r="Y174" s="14"/>
      <c r="Z174" s="14"/>
    </row>
    <row r="175" ht="15.75" customHeight="1">
      <c r="A175" s="5"/>
      <c r="B175" s="5"/>
      <c r="C175" s="6"/>
      <c r="D175" s="6"/>
      <c r="E175" s="5"/>
      <c r="F175" s="5"/>
      <c r="G175" s="5"/>
      <c r="H175" s="5"/>
      <c r="I175" s="5"/>
      <c r="J175" s="5"/>
      <c r="K175" s="5"/>
      <c r="L175" s="5"/>
      <c r="M175" s="5"/>
      <c r="N175" s="5"/>
      <c r="O175" s="5"/>
      <c r="P175" s="5"/>
      <c r="Q175" s="5"/>
      <c r="R175" s="5"/>
      <c r="S175" s="5"/>
      <c r="T175" s="5"/>
      <c r="U175" s="5"/>
      <c r="V175" s="5"/>
      <c r="W175" s="14"/>
      <c r="X175" s="14"/>
      <c r="Y175" s="14"/>
      <c r="Z175" s="14"/>
    </row>
    <row r="176" ht="15.75" customHeight="1">
      <c r="A176" s="5"/>
      <c r="B176" s="5"/>
      <c r="C176" s="6"/>
      <c r="D176" s="6"/>
      <c r="E176" s="5"/>
      <c r="F176" s="5"/>
      <c r="G176" s="5"/>
      <c r="H176" s="5"/>
      <c r="I176" s="5"/>
      <c r="J176" s="5"/>
      <c r="K176" s="5"/>
      <c r="L176" s="5"/>
      <c r="M176" s="5"/>
      <c r="N176" s="5"/>
      <c r="O176" s="5"/>
      <c r="P176" s="5"/>
      <c r="Q176" s="5"/>
      <c r="R176" s="5"/>
      <c r="S176" s="5"/>
      <c r="T176" s="5"/>
      <c r="U176" s="5"/>
      <c r="V176" s="5"/>
      <c r="W176" s="14"/>
      <c r="X176" s="14"/>
      <c r="Y176" s="14"/>
      <c r="Z176" s="14"/>
    </row>
    <row r="177" ht="15.75" customHeight="1">
      <c r="A177" s="5"/>
      <c r="B177" s="5"/>
      <c r="C177" s="6"/>
      <c r="D177" s="6"/>
      <c r="E177" s="5"/>
      <c r="F177" s="5"/>
      <c r="G177" s="5"/>
      <c r="H177" s="5"/>
      <c r="I177" s="5"/>
      <c r="J177" s="5"/>
      <c r="K177" s="5"/>
      <c r="L177" s="5"/>
      <c r="M177" s="5"/>
      <c r="N177" s="5"/>
      <c r="O177" s="5"/>
      <c r="P177" s="5"/>
      <c r="Q177" s="5"/>
      <c r="R177" s="5"/>
      <c r="S177" s="5"/>
      <c r="T177" s="5"/>
      <c r="U177" s="5"/>
      <c r="V177" s="5"/>
      <c r="W177" s="14"/>
      <c r="X177" s="14"/>
      <c r="Y177" s="14"/>
      <c r="Z177" s="14"/>
    </row>
    <row r="178" ht="15.75" customHeight="1">
      <c r="A178" s="5"/>
      <c r="B178" s="5"/>
      <c r="C178" s="6"/>
      <c r="D178" s="6"/>
      <c r="E178" s="5"/>
      <c r="F178" s="5"/>
      <c r="G178" s="5"/>
      <c r="H178" s="5"/>
      <c r="I178" s="5"/>
      <c r="J178" s="5"/>
      <c r="K178" s="5"/>
      <c r="L178" s="5"/>
      <c r="M178" s="5"/>
      <c r="N178" s="5"/>
      <c r="O178" s="5"/>
      <c r="P178" s="5"/>
      <c r="Q178" s="5"/>
      <c r="R178" s="5"/>
      <c r="S178" s="5"/>
      <c r="T178" s="5"/>
      <c r="U178" s="5"/>
      <c r="V178" s="5"/>
      <c r="W178" s="14"/>
      <c r="X178" s="14"/>
      <c r="Y178" s="14"/>
      <c r="Z178" s="14"/>
    </row>
    <row r="179" ht="15.75" customHeight="1">
      <c r="A179" s="5"/>
      <c r="B179" s="5"/>
      <c r="C179" s="6"/>
      <c r="D179" s="6"/>
      <c r="E179" s="5"/>
      <c r="F179" s="5"/>
      <c r="G179" s="5"/>
      <c r="H179" s="5"/>
      <c r="I179" s="5"/>
      <c r="J179" s="5"/>
      <c r="K179" s="5"/>
      <c r="L179" s="5"/>
      <c r="M179" s="5"/>
      <c r="N179" s="5"/>
      <c r="O179" s="5"/>
      <c r="P179" s="5"/>
      <c r="Q179" s="5"/>
      <c r="R179" s="5"/>
      <c r="S179" s="5"/>
      <c r="T179" s="5"/>
      <c r="U179" s="5"/>
      <c r="V179" s="5"/>
      <c r="W179" s="14"/>
      <c r="X179" s="14"/>
      <c r="Y179" s="14"/>
      <c r="Z179" s="14"/>
    </row>
    <row r="180" ht="15.75" customHeight="1">
      <c r="A180" s="5"/>
      <c r="B180" s="5"/>
      <c r="C180" s="6"/>
      <c r="D180" s="6"/>
      <c r="E180" s="5"/>
      <c r="F180" s="5"/>
      <c r="G180" s="5"/>
      <c r="H180" s="5"/>
      <c r="I180" s="5"/>
      <c r="J180" s="5"/>
      <c r="K180" s="5"/>
      <c r="L180" s="5"/>
      <c r="M180" s="5"/>
      <c r="N180" s="5"/>
      <c r="O180" s="5"/>
      <c r="P180" s="5"/>
      <c r="Q180" s="5"/>
      <c r="R180" s="5"/>
      <c r="S180" s="5"/>
      <c r="T180" s="5"/>
      <c r="U180" s="5"/>
      <c r="V180" s="5"/>
      <c r="W180" s="14"/>
      <c r="X180" s="14"/>
      <c r="Y180" s="14"/>
      <c r="Z180" s="14"/>
    </row>
    <row r="181" ht="15.75" customHeight="1">
      <c r="A181" s="5"/>
      <c r="B181" s="5"/>
      <c r="C181" s="6"/>
      <c r="D181" s="6"/>
      <c r="E181" s="5"/>
      <c r="F181" s="5"/>
      <c r="G181" s="5"/>
      <c r="H181" s="5"/>
      <c r="I181" s="5"/>
      <c r="J181" s="5"/>
      <c r="K181" s="5"/>
      <c r="L181" s="5"/>
      <c r="M181" s="5"/>
      <c r="N181" s="5"/>
      <c r="O181" s="5"/>
      <c r="P181" s="5"/>
      <c r="Q181" s="5"/>
      <c r="R181" s="5"/>
      <c r="S181" s="5"/>
      <c r="T181" s="5"/>
      <c r="U181" s="5"/>
      <c r="V181" s="5"/>
      <c r="W181" s="14"/>
      <c r="X181" s="14"/>
      <c r="Y181" s="14"/>
      <c r="Z181" s="14"/>
    </row>
    <row r="182" ht="15.75" customHeight="1">
      <c r="A182" s="5"/>
      <c r="B182" s="5"/>
      <c r="C182" s="6"/>
      <c r="D182" s="6"/>
      <c r="E182" s="5"/>
      <c r="F182" s="5"/>
      <c r="G182" s="5"/>
      <c r="H182" s="5"/>
      <c r="I182" s="5"/>
      <c r="J182" s="5"/>
      <c r="K182" s="5"/>
      <c r="L182" s="5"/>
      <c r="M182" s="5"/>
      <c r="N182" s="5"/>
      <c r="O182" s="5"/>
      <c r="P182" s="5"/>
      <c r="Q182" s="5"/>
      <c r="R182" s="5"/>
      <c r="S182" s="5"/>
      <c r="T182" s="5"/>
      <c r="U182" s="5"/>
      <c r="V182" s="5"/>
      <c r="W182" s="14"/>
      <c r="X182" s="14"/>
      <c r="Y182" s="14"/>
      <c r="Z182" s="14"/>
    </row>
    <row r="183" ht="15.75" customHeight="1">
      <c r="A183" s="5"/>
      <c r="B183" s="5"/>
      <c r="C183" s="6"/>
      <c r="D183" s="6"/>
      <c r="E183" s="5"/>
      <c r="F183" s="5"/>
      <c r="G183" s="5"/>
      <c r="H183" s="5"/>
      <c r="I183" s="5"/>
      <c r="J183" s="5"/>
      <c r="K183" s="5"/>
      <c r="L183" s="5"/>
      <c r="M183" s="5"/>
      <c r="N183" s="5"/>
      <c r="O183" s="5"/>
      <c r="P183" s="5"/>
      <c r="Q183" s="5"/>
      <c r="R183" s="5"/>
      <c r="S183" s="5"/>
      <c r="T183" s="5"/>
      <c r="U183" s="5"/>
      <c r="V183" s="5"/>
      <c r="W183" s="14"/>
      <c r="X183" s="14"/>
      <c r="Y183" s="14"/>
      <c r="Z183" s="14"/>
    </row>
    <row r="184" ht="15.75" customHeight="1">
      <c r="A184" s="5"/>
      <c r="B184" s="5"/>
      <c r="C184" s="6"/>
      <c r="D184" s="6"/>
      <c r="E184" s="5"/>
      <c r="F184" s="5"/>
      <c r="G184" s="5"/>
      <c r="H184" s="5"/>
      <c r="I184" s="5"/>
      <c r="J184" s="5"/>
      <c r="K184" s="5"/>
      <c r="L184" s="5"/>
      <c r="M184" s="5"/>
      <c r="N184" s="5"/>
      <c r="O184" s="5"/>
      <c r="P184" s="5"/>
      <c r="Q184" s="5"/>
      <c r="R184" s="5"/>
      <c r="S184" s="5"/>
      <c r="T184" s="5"/>
      <c r="U184" s="5"/>
      <c r="V184" s="5"/>
      <c r="W184" s="14"/>
      <c r="X184" s="14"/>
      <c r="Y184" s="14"/>
      <c r="Z184" s="14"/>
    </row>
    <row r="185" ht="15.75" customHeight="1">
      <c r="A185" s="5"/>
      <c r="B185" s="5"/>
      <c r="C185" s="6"/>
      <c r="D185" s="6"/>
      <c r="E185" s="5"/>
      <c r="F185" s="5"/>
      <c r="G185" s="5"/>
      <c r="H185" s="5"/>
      <c r="I185" s="5"/>
      <c r="J185" s="5"/>
      <c r="K185" s="5"/>
      <c r="L185" s="5"/>
      <c r="M185" s="5"/>
      <c r="N185" s="5"/>
      <c r="O185" s="5"/>
      <c r="P185" s="5"/>
      <c r="Q185" s="5"/>
      <c r="R185" s="5"/>
      <c r="S185" s="5"/>
      <c r="T185" s="5"/>
      <c r="U185" s="5"/>
      <c r="V185" s="5"/>
      <c r="W185" s="14"/>
      <c r="X185" s="14"/>
      <c r="Y185" s="14"/>
      <c r="Z185" s="14"/>
    </row>
    <row r="186" ht="15.75" customHeight="1">
      <c r="A186" s="5"/>
      <c r="B186" s="5"/>
      <c r="C186" s="6"/>
      <c r="D186" s="6"/>
      <c r="E186" s="5"/>
      <c r="F186" s="5"/>
      <c r="G186" s="5"/>
      <c r="H186" s="5"/>
      <c r="I186" s="5"/>
      <c r="J186" s="5"/>
      <c r="K186" s="5"/>
      <c r="L186" s="5"/>
      <c r="M186" s="5"/>
      <c r="N186" s="5"/>
      <c r="O186" s="5"/>
      <c r="P186" s="5"/>
      <c r="Q186" s="5"/>
      <c r="R186" s="5"/>
      <c r="S186" s="5"/>
      <c r="T186" s="5"/>
      <c r="U186" s="5"/>
      <c r="V186" s="5"/>
      <c r="W186" s="14"/>
      <c r="X186" s="14"/>
      <c r="Y186" s="14"/>
      <c r="Z186" s="14"/>
    </row>
    <row r="187" ht="15.75" customHeight="1">
      <c r="A187" s="5"/>
      <c r="B187" s="5"/>
      <c r="C187" s="6"/>
      <c r="D187" s="6"/>
      <c r="E187" s="5"/>
      <c r="F187" s="5"/>
      <c r="G187" s="5"/>
      <c r="H187" s="5"/>
      <c r="I187" s="5"/>
      <c r="J187" s="5"/>
      <c r="K187" s="5"/>
      <c r="L187" s="5"/>
      <c r="M187" s="5"/>
      <c r="N187" s="5"/>
      <c r="O187" s="5"/>
      <c r="P187" s="5"/>
      <c r="Q187" s="5"/>
      <c r="R187" s="5"/>
      <c r="S187" s="5"/>
      <c r="T187" s="5"/>
      <c r="U187" s="5"/>
      <c r="V187" s="5"/>
      <c r="W187" s="14"/>
      <c r="X187" s="14"/>
      <c r="Y187" s="14"/>
      <c r="Z187" s="14"/>
    </row>
    <row r="188" ht="15.75" customHeight="1">
      <c r="A188" s="5"/>
      <c r="B188" s="5"/>
      <c r="C188" s="6"/>
      <c r="D188" s="6"/>
      <c r="E188" s="5"/>
      <c r="F188" s="5"/>
      <c r="G188" s="5"/>
      <c r="H188" s="5"/>
      <c r="I188" s="5"/>
      <c r="J188" s="5"/>
      <c r="K188" s="5"/>
      <c r="L188" s="5"/>
      <c r="M188" s="5"/>
      <c r="N188" s="5"/>
      <c r="O188" s="5"/>
      <c r="P188" s="5"/>
      <c r="Q188" s="5"/>
      <c r="R188" s="5"/>
      <c r="S188" s="5"/>
      <c r="T188" s="5"/>
      <c r="U188" s="5"/>
      <c r="V188" s="5"/>
      <c r="W188" s="14"/>
      <c r="X188" s="14"/>
      <c r="Y188" s="14"/>
      <c r="Z188" s="14"/>
    </row>
    <row r="189" ht="15.75" customHeight="1">
      <c r="A189" s="5"/>
      <c r="B189" s="5"/>
      <c r="C189" s="6"/>
      <c r="D189" s="6"/>
      <c r="E189" s="5"/>
      <c r="F189" s="5"/>
      <c r="G189" s="5"/>
      <c r="H189" s="5"/>
      <c r="I189" s="5"/>
      <c r="J189" s="5"/>
      <c r="K189" s="5"/>
      <c r="L189" s="5"/>
      <c r="M189" s="5"/>
      <c r="N189" s="5"/>
      <c r="O189" s="5"/>
      <c r="P189" s="5"/>
      <c r="Q189" s="5"/>
      <c r="R189" s="5"/>
      <c r="S189" s="5"/>
      <c r="T189" s="5"/>
      <c r="U189" s="5"/>
      <c r="V189" s="5"/>
      <c r="W189" s="14"/>
      <c r="X189" s="14"/>
      <c r="Y189" s="14"/>
      <c r="Z189" s="14"/>
    </row>
    <row r="190" ht="15.75" customHeight="1">
      <c r="A190" s="5"/>
      <c r="B190" s="5"/>
      <c r="C190" s="6"/>
      <c r="D190" s="6"/>
      <c r="E190" s="5"/>
      <c r="F190" s="5"/>
      <c r="G190" s="5"/>
      <c r="H190" s="5"/>
      <c r="I190" s="5"/>
      <c r="J190" s="5"/>
      <c r="K190" s="5"/>
      <c r="L190" s="5"/>
      <c r="M190" s="5"/>
      <c r="N190" s="5"/>
      <c r="O190" s="5"/>
      <c r="P190" s="5"/>
      <c r="Q190" s="5"/>
      <c r="R190" s="5"/>
      <c r="S190" s="5"/>
      <c r="T190" s="5"/>
      <c r="U190" s="5"/>
      <c r="V190" s="5"/>
      <c r="W190" s="14"/>
      <c r="X190" s="14"/>
      <c r="Y190" s="14"/>
      <c r="Z190" s="14"/>
    </row>
    <row r="191" ht="15.75" customHeight="1">
      <c r="A191" s="5"/>
      <c r="B191" s="5"/>
      <c r="C191" s="6"/>
      <c r="D191" s="6"/>
      <c r="E191" s="5"/>
      <c r="F191" s="5"/>
      <c r="G191" s="5"/>
      <c r="H191" s="5"/>
      <c r="I191" s="5"/>
      <c r="J191" s="5"/>
      <c r="K191" s="5"/>
      <c r="L191" s="5"/>
      <c r="M191" s="5"/>
      <c r="N191" s="5"/>
      <c r="O191" s="5"/>
      <c r="P191" s="5"/>
      <c r="Q191" s="5"/>
      <c r="R191" s="5"/>
      <c r="S191" s="5"/>
      <c r="T191" s="5"/>
      <c r="U191" s="5"/>
      <c r="V191" s="5"/>
      <c r="W191" s="14"/>
      <c r="X191" s="14"/>
      <c r="Y191" s="14"/>
      <c r="Z191" s="14"/>
    </row>
    <row r="192" ht="15.75" customHeight="1">
      <c r="A192" s="5"/>
      <c r="B192" s="5"/>
      <c r="C192" s="6"/>
      <c r="D192" s="6"/>
      <c r="E192" s="5"/>
      <c r="F192" s="5"/>
      <c r="G192" s="5"/>
      <c r="H192" s="5"/>
      <c r="I192" s="5"/>
      <c r="J192" s="5"/>
      <c r="K192" s="5"/>
      <c r="L192" s="5"/>
      <c r="M192" s="5"/>
      <c r="N192" s="5"/>
      <c r="O192" s="5"/>
      <c r="P192" s="5"/>
      <c r="Q192" s="5"/>
      <c r="R192" s="5"/>
      <c r="S192" s="5"/>
      <c r="T192" s="5"/>
      <c r="U192" s="5"/>
      <c r="V192" s="5"/>
      <c r="W192" s="14"/>
      <c r="X192" s="14"/>
      <c r="Y192" s="14"/>
      <c r="Z192" s="14"/>
    </row>
    <row r="193" ht="15.75" customHeight="1">
      <c r="A193" s="5"/>
      <c r="B193" s="5"/>
      <c r="C193" s="6"/>
      <c r="D193" s="6"/>
      <c r="E193" s="5"/>
      <c r="F193" s="5"/>
      <c r="G193" s="5"/>
      <c r="H193" s="5"/>
      <c r="I193" s="5"/>
      <c r="J193" s="5"/>
      <c r="K193" s="5"/>
      <c r="L193" s="5"/>
      <c r="M193" s="5"/>
      <c r="N193" s="5"/>
      <c r="O193" s="5"/>
      <c r="P193" s="5"/>
      <c r="Q193" s="5"/>
      <c r="R193" s="5"/>
      <c r="S193" s="5"/>
      <c r="T193" s="5"/>
      <c r="U193" s="5"/>
      <c r="V193" s="5"/>
      <c r="W193" s="14"/>
      <c r="X193" s="14"/>
      <c r="Y193" s="14"/>
      <c r="Z193" s="14"/>
    </row>
    <row r="194" ht="15.75" customHeight="1">
      <c r="A194" s="5"/>
      <c r="B194" s="5"/>
      <c r="C194" s="6"/>
      <c r="D194" s="6"/>
      <c r="E194" s="5"/>
      <c r="F194" s="5"/>
      <c r="G194" s="5"/>
      <c r="H194" s="5"/>
      <c r="I194" s="5"/>
      <c r="J194" s="5"/>
      <c r="K194" s="5"/>
      <c r="L194" s="5"/>
      <c r="M194" s="5"/>
      <c r="N194" s="5"/>
      <c r="O194" s="5"/>
      <c r="P194" s="5"/>
      <c r="Q194" s="5"/>
      <c r="R194" s="5"/>
      <c r="S194" s="5"/>
      <c r="T194" s="5"/>
      <c r="U194" s="5"/>
      <c r="V194" s="5"/>
      <c r="W194" s="14"/>
      <c r="X194" s="14"/>
      <c r="Y194" s="14"/>
      <c r="Z194" s="14"/>
    </row>
    <row r="195" ht="15.75" customHeight="1">
      <c r="A195" s="5"/>
      <c r="B195" s="5"/>
      <c r="C195" s="6"/>
      <c r="D195" s="6"/>
      <c r="E195" s="5"/>
      <c r="F195" s="5"/>
      <c r="G195" s="5"/>
      <c r="H195" s="5"/>
      <c r="I195" s="5"/>
      <c r="J195" s="5"/>
      <c r="K195" s="5"/>
      <c r="L195" s="5"/>
      <c r="M195" s="5"/>
      <c r="N195" s="5"/>
      <c r="O195" s="5"/>
      <c r="P195" s="5"/>
      <c r="Q195" s="5"/>
      <c r="R195" s="5"/>
      <c r="S195" s="5"/>
      <c r="T195" s="5"/>
      <c r="U195" s="5"/>
      <c r="V195" s="5"/>
      <c r="W195" s="14"/>
      <c r="X195" s="14"/>
      <c r="Y195" s="14"/>
      <c r="Z195" s="14"/>
    </row>
    <row r="196" ht="15.75" customHeight="1">
      <c r="A196" s="5"/>
      <c r="B196" s="5"/>
      <c r="C196" s="6"/>
      <c r="D196" s="6"/>
      <c r="E196" s="5"/>
      <c r="F196" s="5"/>
      <c r="G196" s="5"/>
      <c r="H196" s="5"/>
      <c r="I196" s="5"/>
      <c r="J196" s="5"/>
      <c r="K196" s="5"/>
      <c r="L196" s="5"/>
      <c r="M196" s="5"/>
      <c r="N196" s="5"/>
      <c r="O196" s="5"/>
      <c r="P196" s="5"/>
      <c r="Q196" s="5"/>
      <c r="R196" s="5"/>
      <c r="S196" s="5"/>
      <c r="T196" s="5"/>
      <c r="U196" s="5"/>
      <c r="V196" s="5"/>
      <c r="W196" s="14"/>
      <c r="X196" s="14"/>
      <c r="Y196" s="14"/>
      <c r="Z196" s="14"/>
    </row>
    <row r="197" ht="15.75" customHeight="1">
      <c r="A197" s="5"/>
      <c r="B197" s="5"/>
      <c r="C197" s="6"/>
      <c r="D197" s="6"/>
      <c r="E197" s="5"/>
      <c r="F197" s="5"/>
      <c r="G197" s="5"/>
      <c r="H197" s="5"/>
      <c r="I197" s="5"/>
      <c r="J197" s="5"/>
      <c r="K197" s="5"/>
      <c r="L197" s="5"/>
      <c r="M197" s="5"/>
      <c r="N197" s="5"/>
      <c r="O197" s="5"/>
      <c r="P197" s="5"/>
      <c r="Q197" s="5"/>
      <c r="R197" s="5"/>
      <c r="S197" s="5"/>
      <c r="T197" s="5"/>
      <c r="U197" s="5"/>
      <c r="V197" s="5"/>
      <c r="W197" s="14"/>
      <c r="X197" s="14"/>
      <c r="Y197" s="14"/>
      <c r="Z197" s="14"/>
    </row>
    <row r="198" ht="15.75" customHeight="1">
      <c r="A198" s="5"/>
      <c r="B198" s="5"/>
      <c r="C198" s="6"/>
      <c r="D198" s="6"/>
      <c r="E198" s="5"/>
      <c r="F198" s="5"/>
      <c r="G198" s="5"/>
      <c r="H198" s="5"/>
      <c r="I198" s="5"/>
      <c r="J198" s="5"/>
      <c r="K198" s="5"/>
      <c r="L198" s="5"/>
      <c r="M198" s="5"/>
      <c r="N198" s="5"/>
      <c r="O198" s="5"/>
      <c r="P198" s="5"/>
      <c r="Q198" s="5"/>
      <c r="R198" s="5"/>
      <c r="S198" s="5"/>
      <c r="T198" s="5"/>
      <c r="U198" s="5"/>
      <c r="V198" s="5"/>
      <c r="W198" s="14"/>
      <c r="X198" s="14"/>
      <c r="Y198" s="14"/>
      <c r="Z198" s="14"/>
    </row>
    <row r="199" ht="15.75" customHeight="1">
      <c r="A199" s="5"/>
      <c r="B199" s="5"/>
      <c r="C199" s="6"/>
      <c r="D199" s="6"/>
      <c r="E199" s="5"/>
      <c r="F199" s="5"/>
      <c r="G199" s="5"/>
      <c r="H199" s="5"/>
      <c r="I199" s="5"/>
      <c r="J199" s="5"/>
      <c r="K199" s="5"/>
      <c r="L199" s="5"/>
      <c r="M199" s="5"/>
      <c r="N199" s="5"/>
      <c r="O199" s="5"/>
      <c r="P199" s="5"/>
      <c r="Q199" s="5"/>
      <c r="R199" s="5"/>
      <c r="S199" s="5"/>
      <c r="T199" s="5"/>
      <c r="U199" s="5"/>
      <c r="V199" s="5"/>
      <c r="W199" s="14"/>
      <c r="X199" s="14"/>
      <c r="Y199" s="14"/>
      <c r="Z199" s="14"/>
    </row>
    <row r="200" ht="15.75" customHeight="1">
      <c r="A200" s="5"/>
      <c r="B200" s="5"/>
      <c r="C200" s="6"/>
      <c r="D200" s="6"/>
      <c r="E200" s="5"/>
      <c r="F200" s="5"/>
      <c r="G200" s="5"/>
      <c r="H200" s="5"/>
      <c r="I200" s="5"/>
      <c r="J200" s="5"/>
      <c r="K200" s="5"/>
      <c r="L200" s="5"/>
      <c r="M200" s="5"/>
      <c r="N200" s="5"/>
      <c r="O200" s="5"/>
      <c r="P200" s="5"/>
      <c r="Q200" s="5"/>
      <c r="R200" s="5"/>
      <c r="S200" s="5"/>
      <c r="T200" s="5"/>
      <c r="U200" s="5"/>
      <c r="V200" s="5"/>
      <c r="W200" s="14"/>
      <c r="X200" s="14"/>
      <c r="Y200" s="14"/>
      <c r="Z200" s="14"/>
    </row>
    <row r="201" ht="15.75" customHeight="1">
      <c r="A201" s="5"/>
      <c r="B201" s="5"/>
      <c r="C201" s="6"/>
      <c r="D201" s="6"/>
      <c r="E201" s="5"/>
      <c r="F201" s="5"/>
      <c r="G201" s="5"/>
      <c r="H201" s="5"/>
      <c r="I201" s="5"/>
      <c r="J201" s="5"/>
      <c r="K201" s="5"/>
      <c r="L201" s="5"/>
      <c r="M201" s="5"/>
      <c r="N201" s="5"/>
      <c r="O201" s="5"/>
      <c r="P201" s="5"/>
      <c r="Q201" s="5"/>
      <c r="R201" s="5"/>
      <c r="S201" s="5"/>
      <c r="T201" s="5"/>
      <c r="U201" s="5"/>
      <c r="V201" s="5"/>
      <c r="W201" s="14"/>
      <c r="X201" s="14"/>
      <c r="Y201" s="14"/>
      <c r="Z201" s="14"/>
    </row>
    <row r="202" ht="15.75" customHeight="1">
      <c r="A202" s="5"/>
      <c r="B202" s="5"/>
      <c r="C202" s="6"/>
      <c r="D202" s="6"/>
      <c r="E202" s="5"/>
      <c r="F202" s="5"/>
      <c r="G202" s="5"/>
      <c r="H202" s="5"/>
      <c r="I202" s="5"/>
      <c r="J202" s="5"/>
      <c r="K202" s="5"/>
      <c r="L202" s="5"/>
      <c r="M202" s="5"/>
      <c r="N202" s="5"/>
      <c r="O202" s="5"/>
      <c r="P202" s="5"/>
      <c r="Q202" s="5"/>
      <c r="R202" s="5"/>
      <c r="S202" s="5"/>
      <c r="T202" s="5"/>
      <c r="U202" s="5"/>
      <c r="V202" s="5"/>
      <c r="W202" s="14"/>
      <c r="X202" s="14"/>
      <c r="Y202" s="14"/>
      <c r="Z202" s="14"/>
    </row>
    <row r="203" ht="15.75" customHeight="1">
      <c r="A203" s="5"/>
      <c r="B203" s="5"/>
      <c r="C203" s="6"/>
      <c r="D203" s="6"/>
      <c r="E203" s="5"/>
      <c r="F203" s="5"/>
      <c r="G203" s="5"/>
      <c r="H203" s="5"/>
      <c r="I203" s="5"/>
      <c r="J203" s="5"/>
      <c r="K203" s="5"/>
      <c r="L203" s="5"/>
      <c r="M203" s="5"/>
      <c r="N203" s="5"/>
      <c r="O203" s="5"/>
      <c r="P203" s="5"/>
      <c r="Q203" s="5"/>
      <c r="R203" s="5"/>
      <c r="S203" s="5"/>
      <c r="T203" s="5"/>
      <c r="U203" s="5"/>
      <c r="V203" s="5"/>
      <c r="W203" s="14"/>
      <c r="X203" s="14"/>
      <c r="Y203" s="14"/>
      <c r="Z203" s="14"/>
    </row>
    <row r="204" ht="15.75" customHeight="1">
      <c r="A204" s="5"/>
      <c r="B204" s="5"/>
      <c r="C204" s="6"/>
      <c r="D204" s="6"/>
      <c r="E204" s="5"/>
      <c r="F204" s="5"/>
      <c r="G204" s="5"/>
      <c r="H204" s="5"/>
      <c r="I204" s="5"/>
      <c r="J204" s="5"/>
      <c r="K204" s="5"/>
      <c r="L204" s="5"/>
      <c r="M204" s="5"/>
      <c r="N204" s="5"/>
      <c r="O204" s="5"/>
      <c r="P204" s="5"/>
      <c r="Q204" s="5"/>
      <c r="R204" s="5"/>
      <c r="S204" s="5"/>
      <c r="T204" s="5"/>
      <c r="U204" s="5"/>
      <c r="V204" s="5"/>
      <c r="W204" s="14"/>
      <c r="X204" s="14"/>
      <c r="Y204" s="14"/>
      <c r="Z204" s="14"/>
    </row>
    <row r="205" ht="15.75" customHeight="1">
      <c r="A205" s="5"/>
      <c r="B205" s="5"/>
      <c r="C205" s="6"/>
      <c r="D205" s="6"/>
      <c r="E205" s="5"/>
      <c r="F205" s="5"/>
      <c r="G205" s="5"/>
      <c r="H205" s="5"/>
      <c r="I205" s="5"/>
      <c r="J205" s="5"/>
      <c r="K205" s="5"/>
      <c r="L205" s="5"/>
      <c r="M205" s="5"/>
      <c r="N205" s="5"/>
      <c r="O205" s="5"/>
      <c r="P205" s="5"/>
      <c r="Q205" s="5"/>
      <c r="R205" s="5"/>
      <c r="S205" s="5"/>
      <c r="T205" s="5"/>
      <c r="U205" s="5"/>
      <c r="V205" s="5"/>
      <c r="W205" s="14"/>
      <c r="X205" s="14"/>
      <c r="Y205" s="14"/>
      <c r="Z205" s="14"/>
    </row>
    <row r="206" ht="15.75" customHeight="1">
      <c r="A206" s="5"/>
      <c r="B206" s="5"/>
      <c r="C206" s="6"/>
      <c r="D206" s="6"/>
      <c r="E206" s="5"/>
      <c r="F206" s="5"/>
      <c r="G206" s="5"/>
      <c r="H206" s="5"/>
      <c r="I206" s="5"/>
      <c r="J206" s="5"/>
      <c r="K206" s="5"/>
      <c r="L206" s="5"/>
      <c r="M206" s="5"/>
      <c r="N206" s="5"/>
      <c r="O206" s="5"/>
      <c r="P206" s="5"/>
      <c r="Q206" s="5"/>
      <c r="R206" s="5"/>
      <c r="S206" s="5"/>
      <c r="T206" s="5"/>
      <c r="U206" s="5"/>
      <c r="V206" s="5"/>
      <c r="W206" s="14"/>
      <c r="X206" s="14"/>
      <c r="Y206" s="14"/>
      <c r="Z206" s="14"/>
    </row>
    <row r="207" ht="15.75" customHeight="1">
      <c r="A207" s="5"/>
      <c r="B207" s="5"/>
      <c r="C207" s="6"/>
      <c r="D207" s="6"/>
      <c r="E207" s="5"/>
      <c r="F207" s="5"/>
      <c r="G207" s="5"/>
      <c r="H207" s="5"/>
      <c r="I207" s="5"/>
      <c r="J207" s="5"/>
      <c r="K207" s="5"/>
      <c r="L207" s="5"/>
      <c r="M207" s="5"/>
      <c r="N207" s="5"/>
      <c r="O207" s="5"/>
      <c r="P207" s="5"/>
      <c r="Q207" s="5"/>
      <c r="R207" s="5"/>
      <c r="S207" s="5"/>
      <c r="T207" s="5"/>
      <c r="U207" s="5"/>
      <c r="V207" s="5"/>
      <c r="W207" s="14"/>
      <c r="X207" s="14"/>
      <c r="Y207" s="14"/>
      <c r="Z207" s="14"/>
    </row>
    <row r="208" ht="15.75" customHeight="1">
      <c r="A208" s="5"/>
      <c r="B208" s="5"/>
      <c r="C208" s="6"/>
      <c r="D208" s="6"/>
      <c r="E208" s="5"/>
      <c r="F208" s="5"/>
      <c r="G208" s="5"/>
      <c r="H208" s="5"/>
      <c r="I208" s="5"/>
      <c r="J208" s="5"/>
      <c r="K208" s="5"/>
      <c r="L208" s="5"/>
      <c r="M208" s="5"/>
      <c r="N208" s="5"/>
      <c r="O208" s="5"/>
      <c r="P208" s="5"/>
      <c r="Q208" s="5"/>
      <c r="R208" s="5"/>
      <c r="S208" s="5"/>
      <c r="T208" s="5"/>
      <c r="U208" s="5"/>
      <c r="V208" s="5"/>
      <c r="W208" s="14"/>
      <c r="X208" s="14"/>
      <c r="Y208" s="14"/>
      <c r="Z208" s="14"/>
    </row>
    <row r="209" ht="15.75" customHeight="1">
      <c r="A209" s="5"/>
      <c r="B209" s="5"/>
      <c r="C209" s="6"/>
      <c r="D209" s="6"/>
      <c r="E209" s="5"/>
      <c r="F209" s="5"/>
      <c r="G209" s="5"/>
      <c r="H209" s="5"/>
      <c r="I209" s="5"/>
      <c r="J209" s="5"/>
      <c r="K209" s="5"/>
      <c r="L209" s="5"/>
      <c r="M209" s="5"/>
      <c r="N209" s="5"/>
      <c r="O209" s="5"/>
      <c r="P209" s="5"/>
      <c r="Q209" s="5"/>
      <c r="R209" s="5"/>
      <c r="S209" s="5"/>
      <c r="T209" s="5"/>
      <c r="U209" s="5"/>
      <c r="V209" s="5"/>
      <c r="W209" s="14"/>
      <c r="X209" s="14"/>
      <c r="Y209" s="14"/>
      <c r="Z209" s="14"/>
    </row>
    <row r="210" ht="15.75" customHeight="1">
      <c r="A210" s="5"/>
      <c r="B210" s="5"/>
      <c r="C210" s="6"/>
      <c r="D210" s="6"/>
      <c r="E210" s="5"/>
      <c r="F210" s="5"/>
      <c r="G210" s="5"/>
      <c r="H210" s="5"/>
      <c r="I210" s="5"/>
      <c r="J210" s="5"/>
      <c r="K210" s="5"/>
      <c r="L210" s="5"/>
      <c r="M210" s="5"/>
      <c r="N210" s="5"/>
      <c r="O210" s="5"/>
      <c r="P210" s="5"/>
      <c r="Q210" s="5"/>
      <c r="R210" s="5"/>
      <c r="S210" s="5"/>
      <c r="T210" s="5"/>
      <c r="U210" s="5"/>
      <c r="V210" s="5"/>
      <c r="W210" s="14"/>
      <c r="X210" s="14"/>
      <c r="Y210" s="14"/>
      <c r="Z210" s="14"/>
    </row>
    <row r="211" ht="15.75" customHeight="1">
      <c r="A211" s="5"/>
      <c r="B211" s="5"/>
      <c r="C211" s="6"/>
      <c r="D211" s="6"/>
      <c r="E211" s="5"/>
      <c r="F211" s="5"/>
      <c r="G211" s="5"/>
      <c r="H211" s="5"/>
      <c r="I211" s="5"/>
      <c r="J211" s="5"/>
      <c r="K211" s="5"/>
      <c r="L211" s="5"/>
      <c r="M211" s="5"/>
      <c r="N211" s="5"/>
      <c r="O211" s="5"/>
      <c r="P211" s="5"/>
      <c r="Q211" s="5"/>
      <c r="R211" s="5"/>
      <c r="S211" s="5"/>
      <c r="T211" s="5"/>
      <c r="U211" s="5"/>
      <c r="V211" s="5"/>
      <c r="W211" s="14"/>
      <c r="X211" s="14"/>
      <c r="Y211" s="14"/>
      <c r="Z211" s="14"/>
    </row>
    <row r="212" ht="15.75" customHeight="1">
      <c r="A212" s="5"/>
      <c r="B212" s="5"/>
      <c r="C212" s="6"/>
      <c r="D212" s="6"/>
      <c r="E212" s="5"/>
      <c r="F212" s="5"/>
      <c r="G212" s="5"/>
      <c r="H212" s="5"/>
      <c r="I212" s="5"/>
      <c r="J212" s="5"/>
      <c r="K212" s="5"/>
      <c r="L212" s="5"/>
      <c r="M212" s="5"/>
      <c r="N212" s="5"/>
      <c r="O212" s="5"/>
      <c r="P212" s="5"/>
      <c r="Q212" s="5"/>
      <c r="R212" s="5"/>
      <c r="S212" s="5"/>
      <c r="T212" s="5"/>
      <c r="U212" s="5"/>
      <c r="V212" s="5"/>
      <c r="W212" s="14"/>
      <c r="X212" s="14"/>
      <c r="Y212" s="14"/>
      <c r="Z212" s="14"/>
    </row>
    <row r="213" ht="15.75" customHeight="1">
      <c r="A213" s="5"/>
      <c r="B213" s="5"/>
      <c r="C213" s="6"/>
      <c r="D213" s="6"/>
      <c r="E213" s="5"/>
      <c r="F213" s="5"/>
      <c r="G213" s="5"/>
      <c r="H213" s="5"/>
      <c r="I213" s="5"/>
      <c r="J213" s="5"/>
      <c r="K213" s="5"/>
      <c r="L213" s="5"/>
      <c r="M213" s="5"/>
      <c r="N213" s="5"/>
      <c r="O213" s="5"/>
      <c r="P213" s="5"/>
      <c r="Q213" s="5"/>
      <c r="R213" s="5"/>
      <c r="S213" s="5"/>
      <c r="T213" s="5"/>
      <c r="U213" s="5"/>
      <c r="V213" s="5"/>
      <c r="W213" s="14"/>
      <c r="X213" s="14"/>
      <c r="Y213" s="14"/>
      <c r="Z213" s="14"/>
    </row>
    <row r="214" ht="15.75" customHeight="1">
      <c r="A214" s="5"/>
      <c r="B214" s="5"/>
      <c r="C214" s="6"/>
      <c r="D214" s="6"/>
      <c r="E214" s="5"/>
      <c r="F214" s="5"/>
      <c r="G214" s="5"/>
      <c r="H214" s="5"/>
      <c r="I214" s="5"/>
      <c r="J214" s="5"/>
      <c r="K214" s="5"/>
      <c r="L214" s="5"/>
      <c r="M214" s="5"/>
      <c r="N214" s="5"/>
      <c r="O214" s="5"/>
      <c r="P214" s="5"/>
      <c r="Q214" s="5"/>
      <c r="R214" s="5"/>
      <c r="S214" s="5"/>
      <c r="T214" s="5"/>
      <c r="U214" s="5"/>
      <c r="V214" s="5"/>
      <c r="W214" s="14"/>
      <c r="X214" s="14"/>
      <c r="Y214" s="14"/>
      <c r="Z214" s="14"/>
    </row>
    <row r="215" ht="15.75" customHeight="1">
      <c r="A215" s="5"/>
      <c r="B215" s="5"/>
      <c r="C215" s="6"/>
      <c r="D215" s="6"/>
      <c r="E215" s="5"/>
      <c r="F215" s="5"/>
      <c r="G215" s="5"/>
      <c r="H215" s="5"/>
      <c r="I215" s="5"/>
      <c r="J215" s="5"/>
      <c r="K215" s="5"/>
      <c r="L215" s="5"/>
      <c r="M215" s="5"/>
      <c r="N215" s="5"/>
      <c r="O215" s="5"/>
      <c r="P215" s="5"/>
      <c r="Q215" s="5"/>
      <c r="R215" s="5"/>
      <c r="S215" s="5"/>
      <c r="T215" s="5"/>
      <c r="U215" s="5"/>
      <c r="V215" s="5"/>
      <c r="W215" s="14"/>
      <c r="X215" s="14"/>
      <c r="Y215" s="14"/>
      <c r="Z215" s="14"/>
    </row>
    <row r="216" ht="15.75" customHeight="1">
      <c r="A216" s="5"/>
      <c r="B216" s="5"/>
      <c r="C216" s="6"/>
      <c r="D216" s="6"/>
      <c r="E216" s="5"/>
      <c r="F216" s="5"/>
      <c r="G216" s="5"/>
      <c r="H216" s="5"/>
      <c r="I216" s="5"/>
      <c r="J216" s="5"/>
      <c r="K216" s="5"/>
      <c r="L216" s="5"/>
      <c r="M216" s="5"/>
      <c r="N216" s="5"/>
      <c r="O216" s="5"/>
      <c r="P216" s="5"/>
      <c r="Q216" s="5"/>
      <c r="R216" s="5"/>
      <c r="S216" s="5"/>
      <c r="T216" s="5"/>
      <c r="U216" s="5"/>
      <c r="V216" s="5"/>
      <c r="W216" s="14"/>
      <c r="X216" s="14"/>
      <c r="Y216" s="14"/>
      <c r="Z216" s="14"/>
    </row>
    <row r="217" ht="15.75" customHeight="1">
      <c r="A217" s="5"/>
      <c r="B217" s="5"/>
      <c r="C217" s="6"/>
      <c r="D217" s="6"/>
      <c r="E217" s="5"/>
      <c r="F217" s="5"/>
      <c r="G217" s="5"/>
      <c r="H217" s="5"/>
      <c r="I217" s="5"/>
      <c r="J217" s="5"/>
      <c r="K217" s="5"/>
      <c r="L217" s="5"/>
      <c r="M217" s="5"/>
      <c r="N217" s="5"/>
      <c r="O217" s="5"/>
      <c r="P217" s="5"/>
      <c r="Q217" s="5"/>
      <c r="R217" s="5"/>
      <c r="S217" s="5"/>
      <c r="T217" s="5"/>
      <c r="U217" s="5"/>
      <c r="V217" s="5"/>
      <c r="W217" s="14"/>
      <c r="X217" s="14"/>
      <c r="Y217" s="14"/>
      <c r="Z217" s="14"/>
    </row>
    <row r="218" ht="15.75" customHeight="1">
      <c r="A218" s="5"/>
      <c r="B218" s="5"/>
      <c r="C218" s="6"/>
      <c r="D218" s="6"/>
      <c r="E218" s="5"/>
      <c r="F218" s="5"/>
      <c r="G218" s="5"/>
      <c r="H218" s="5"/>
      <c r="I218" s="5"/>
      <c r="J218" s="5"/>
      <c r="K218" s="5"/>
      <c r="L218" s="5"/>
      <c r="M218" s="5"/>
      <c r="N218" s="5"/>
      <c r="O218" s="5"/>
      <c r="P218" s="5"/>
      <c r="Q218" s="5"/>
      <c r="R218" s="5"/>
      <c r="S218" s="5"/>
      <c r="T218" s="5"/>
      <c r="U218" s="5"/>
      <c r="V218" s="5"/>
      <c r="W218" s="14"/>
      <c r="X218" s="14"/>
      <c r="Y218" s="14"/>
      <c r="Z218" s="14"/>
    </row>
    <row r="219" ht="15.75" customHeight="1">
      <c r="A219" s="5"/>
      <c r="B219" s="5"/>
      <c r="C219" s="6"/>
      <c r="D219" s="6"/>
      <c r="E219" s="5"/>
      <c r="F219" s="5"/>
      <c r="G219" s="5"/>
      <c r="H219" s="5"/>
      <c r="I219" s="5"/>
      <c r="J219" s="5"/>
      <c r="K219" s="5"/>
      <c r="L219" s="5"/>
      <c r="M219" s="5"/>
      <c r="N219" s="5"/>
      <c r="O219" s="5"/>
      <c r="P219" s="5"/>
      <c r="Q219" s="5"/>
      <c r="R219" s="5"/>
      <c r="S219" s="5"/>
      <c r="T219" s="5"/>
      <c r="U219" s="5"/>
      <c r="V219" s="5"/>
      <c r="W219" s="14"/>
      <c r="X219" s="14"/>
      <c r="Y219" s="14"/>
      <c r="Z219" s="14"/>
    </row>
    <row r="220" ht="15.75" customHeight="1">
      <c r="A220" s="5"/>
      <c r="B220" s="5"/>
      <c r="C220" s="6"/>
      <c r="D220" s="6"/>
      <c r="E220" s="5"/>
      <c r="F220" s="5"/>
      <c r="G220" s="5"/>
      <c r="H220" s="5"/>
      <c r="I220" s="5"/>
      <c r="J220" s="5"/>
      <c r="K220" s="5"/>
      <c r="L220" s="5"/>
      <c r="M220" s="5"/>
      <c r="N220" s="5"/>
      <c r="O220" s="5"/>
      <c r="P220" s="5"/>
      <c r="Q220" s="5"/>
      <c r="R220" s="5"/>
      <c r="S220" s="5"/>
      <c r="T220" s="5"/>
      <c r="U220" s="5"/>
      <c r="V220" s="5"/>
      <c r="W220" s="14"/>
      <c r="X220" s="14"/>
      <c r="Y220" s="14"/>
      <c r="Z220" s="14"/>
    </row>
    <row r="221" ht="15.75" customHeight="1">
      <c r="A221" s="5"/>
      <c r="B221" s="5"/>
      <c r="C221" s="6"/>
      <c r="D221" s="6"/>
      <c r="E221" s="5"/>
      <c r="F221" s="5"/>
      <c r="G221" s="5"/>
      <c r="H221" s="5"/>
      <c r="I221" s="5"/>
      <c r="J221" s="5"/>
      <c r="K221" s="5"/>
      <c r="L221" s="5"/>
      <c r="M221" s="5"/>
      <c r="N221" s="5"/>
      <c r="O221" s="5"/>
      <c r="P221" s="5"/>
      <c r="Q221" s="5"/>
      <c r="R221" s="5"/>
      <c r="S221" s="5"/>
      <c r="T221" s="5"/>
      <c r="U221" s="5"/>
      <c r="V221" s="5"/>
      <c r="W221" s="14"/>
      <c r="X221" s="14"/>
      <c r="Y221" s="14"/>
      <c r="Z221" s="14"/>
    </row>
    <row r="222" ht="15.75" customHeight="1">
      <c r="A222" s="5"/>
      <c r="B222" s="5"/>
      <c r="C222" s="6"/>
      <c r="D222" s="6"/>
      <c r="E222" s="5"/>
      <c r="F222" s="5"/>
      <c r="G222" s="5"/>
      <c r="H222" s="5"/>
      <c r="I222" s="5"/>
      <c r="J222" s="5"/>
      <c r="K222" s="5"/>
      <c r="L222" s="5"/>
      <c r="M222" s="5"/>
      <c r="N222" s="5"/>
      <c r="O222" s="5"/>
      <c r="P222" s="5"/>
      <c r="Q222" s="5"/>
      <c r="R222" s="5"/>
      <c r="S222" s="5"/>
      <c r="T222" s="5"/>
      <c r="U222" s="5"/>
      <c r="V222" s="5"/>
      <c r="W222" s="14"/>
      <c r="X222" s="14"/>
      <c r="Y222" s="14"/>
      <c r="Z222" s="14"/>
    </row>
    <row r="223" ht="15.75" customHeight="1">
      <c r="A223" s="5"/>
      <c r="B223" s="5"/>
      <c r="C223" s="6"/>
      <c r="D223" s="6"/>
      <c r="E223" s="5"/>
      <c r="F223" s="5"/>
      <c r="G223" s="5"/>
      <c r="H223" s="5"/>
      <c r="I223" s="5"/>
      <c r="J223" s="5"/>
      <c r="K223" s="5"/>
      <c r="L223" s="5"/>
      <c r="M223" s="5"/>
      <c r="N223" s="5"/>
      <c r="O223" s="5"/>
      <c r="P223" s="5"/>
      <c r="Q223" s="5"/>
      <c r="R223" s="5"/>
      <c r="S223" s="5"/>
      <c r="T223" s="5"/>
      <c r="U223" s="5"/>
      <c r="V223" s="5"/>
      <c r="W223" s="14"/>
      <c r="X223" s="14"/>
      <c r="Y223" s="14"/>
      <c r="Z223" s="14"/>
    </row>
    <row r="224" ht="15.75" customHeight="1">
      <c r="A224" s="5"/>
      <c r="B224" s="5"/>
      <c r="C224" s="6"/>
      <c r="D224" s="6"/>
      <c r="E224" s="5"/>
      <c r="F224" s="5"/>
      <c r="G224" s="5"/>
      <c r="H224" s="5"/>
      <c r="I224" s="5"/>
      <c r="J224" s="5"/>
      <c r="K224" s="5"/>
      <c r="L224" s="5"/>
      <c r="M224" s="5"/>
      <c r="N224" s="5"/>
      <c r="O224" s="5"/>
      <c r="P224" s="5"/>
      <c r="Q224" s="5"/>
      <c r="R224" s="5"/>
      <c r="S224" s="5"/>
      <c r="T224" s="5"/>
      <c r="U224" s="5"/>
      <c r="V224" s="5"/>
      <c r="W224" s="14"/>
      <c r="X224" s="14"/>
      <c r="Y224" s="14"/>
      <c r="Z224" s="14"/>
    </row>
    <row r="225" ht="15.75" customHeight="1">
      <c r="A225" s="5"/>
      <c r="B225" s="5"/>
      <c r="C225" s="6"/>
      <c r="D225" s="6"/>
      <c r="E225" s="5"/>
      <c r="F225" s="5"/>
      <c r="G225" s="5"/>
      <c r="H225" s="5"/>
      <c r="I225" s="5"/>
      <c r="J225" s="5"/>
      <c r="K225" s="5"/>
      <c r="L225" s="5"/>
      <c r="M225" s="5"/>
      <c r="N225" s="5"/>
      <c r="O225" s="5"/>
      <c r="P225" s="5"/>
      <c r="Q225" s="5"/>
      <c r="R225" s="5"/>
      <c r="S225" s="5"/>
      <c r="T225" s="5"/>
      <c r="U225" s="5"/>
      <c r="V225" s="5"/>
      <c r="W225" s="14"/>
      <c r="X225" s="14"/>
      <c r="Y225" s="14"/>
      <c r="Z225" s="14"/>
    </row>
    <row r="226" ht="15.75" customHeight="1">
      <c r="A226" s="5"/>
      <c r="B226" s="5"/>
      <c r="C226" s="6"/>
      <c r="D226" s="6"/>
      <c r="E226" s="5"/>
      <c r="F226" s="5"/>
      <c r="G226" s="5"/>
      <c r="H226" s="5"/>
      <c r="I226" s="5"/>
      <c r="J226" s="5"/>
      <c r="K226" s="5"/>
      <c r="L226" s="5"/>
      <c r="M226" s="5"/>
      <c r="N226" s="5"/>
      <c r="O226" s="5"/>
      <c r="P226" s="5"/>
      <c r="Q226" s="5"/>
      <c r="R226" s="5"/>
      <c r="S226" s="5"/>
      <c r="T226" s="5"/>
      <c r="U226" s="5"/>
      <c r="V226" s="5"/>
      <c r="W226" s="14"/>
      <c r="X226" s="14"/>
      <c r="Y226" s="14"/>
      <c r="Z226" s="14"/>
    </row>
    <row r="227" ht="15.75" customHeight="1">
      <c r="A227" s="5"/>
      <c r="B227" s="5"/>
      <c r="C227" s="6"/>
      <c r="D227" s="6"/>
      <c r="E227" s="5"/>
      <c r="F227" s="5"/>
      <c r="G227" s="5"/>
      <c r="H227" s="5"/>
      <c r="I227" s="5"/>
      <c r="J227" s="5"/>
      <c r="K227" s="5"/>
      <c r="L227" s="5"/>
      <c r="M227" s="5"/>
      <c r="N227" s="5"/>
      <c r="O227" s="5"/>
      <c r="P227" s="5"/>
      <c r="Q227" s="5"/>
      <c r="R227" s="5"/>
      <c r="S227" s="5"/>
      <c r="T227" s="5"/>
      <c r="U227" s="5"/>
      <c r="V227" s="5"/>
      <c r="W227" s="14"/>
      <c r="X227" s="14"/>
      <c r="Y227" s="14"/>
      <c r="Z227" s="14"/>
    </row>
    <row r="228" ht="15.75" customHeight="1">
      <c r="A228" s="5"/>
      <c r="B228" s="5"/>
      <c r="C228" s="6"/>
      <c r="D228" s="6"/>
      <c r="E228" s="5"/>
      <c r="F228" s="5"/>
      <c r="G228" s="5"/>
      <c r="H228" s="5"/>
      <c r="I228" s="5"/>
      <c r="J228" s="5"/>
      <c r="K228" s="5"/>
      <c r="L228" s="5"/>
      <c r="M228" s="5"/>
      <c r="N228" s="5"/>
      <c r="O228" s="5"/>
      <c r="P228" s="5"/>
      <c r="Q228" s="5"/>
      <c r="R228" s="5"/>
      <c r="S228" s="5"/>
      <c r="T228" s="5"/>
      <c r="U228" s="5"/>
      <c r="V228" s="5"/>
      <c r="W228" s="14"/>
      <c r="X228" s="14"/>
      <c r="Y228" s="14"/>
      <c r="Z228" s="14"/>
    </row>
    <row r="229" ht="15.75" customHeight="1">
      <c r="A229" s="5"/>
      <c r="B229" s="5"/>
      <c r="C229" s="6"/>
      <c r="D229" s="6"/>
      <c r="E229" s="5"/>
      <c r="F229" s="5"/>
      <c r="G229" s="5"/>
      <c r="H229" s="5"/>
      <c r="I229" s="5"/>
      <c r="J229" s="5"/>
      <c r="K229" s="5"/>
      <c r="L229" s="5"/>
      <c r="M229" s="5"/>
      <c r="N229" s="5"/>
      <c r="O229" s="5"/>
      <c r="P229" s="5"/>
      <c r="Q229" s="5"/>
      <c r="R229" s="5"/>
      <c r="S229" s="5"/>
      <c r="T229" s="5"/>
      <c r="U229" s="5"/>
      <c r="V229" s="5"/>
      <c r="W229" s="14"/>
      <c r="X229" s="14"/>
      <c r="Y229" s="14"/>
      <c r="Z229" s="14"/>
    </row>
    <row r="230" ht="15.75" customHeight="1">
      <c r="A230" s="5"/>
      <c r="B230" s="5"/>
      <c r="C230" s="6"/>
      <c r="D230" s="6"/>
      <c r="E230" s="5"/>
      <c r="F230" s="5"/>
      <c r="G230" s="5"/>
      <c r="H230" s="5"/>
      <c r="I230" s="5"/>
      <c r="J230" s="5"/>
      <c r="K230" s="5"/>
      <c r="L230" s="5"/>
      <c r="M230" s="5"/>
      <c r="N230" s="5"/>
      <c r="O230" s="5"/>
      <c r="P230" s="5"/>
      <c r="Q230" s="5"/>
      <c r="R230" s="5"/>
      <c r="S230" s="5"/>
      <c r="T230" s="5"/>
      <c r="U230" s="5"/>
      <c r="V230" s="5"/>
      <c r="W230" s="14"/>
      <c r="X230" s="14"/>
      <c r="Y230" s="14"/>
      <c r="Z230" s="14"/>
    </row>
    <row r="231" ht="15.75" customHeight="1">
      <c r="A231" s="5"/>
      <c r="B231" s="5"/>
      <c r="C231" s="6"/>
      <c r="D231" s="6"/>
      <c r="E231" s="5"/>
      <c r="F231" s="5"/>
      <c r="G231" s="5"/>
      <c r="H231" s="5"/>
      <c r="I231" s="5"/>
      <c r="J231" s="5"/>
      <c r="K231" s="5"/>
      <c r="L231" s="5"/>
      <c r="M231" s="5"/>
      <c r="N231" s="5"/>
      <c r="O231" s="5"/>
      <c r="P231" s="5"/>
      <c r="Q231" s="5"/>
      <c r="R231" s="5"/>
      <c r="S231" s="5"/>
      <c r="T231" s="5"/>
      <c r="U231" s="5"/>
      <c r="V231" s="5"/>
      <c r="W231" s="14"/>
      <c r="X231" s="14"/>
      <c r="Y231" s="14"/>
      <c r="Z231" s="14"/>
    </row>
    <row r="232" ht="15.75" customHeight="1">
      <c r="A232" s="5"/>
      <c r="B232" s="5"/>
      <c r="C232" s="6"/>
      <c r="D232" s="6"/>
      <c r="E232" s="5"/>
      <c r="F232" s="5"/>
      <c r="G232" s="5"/>
      <c r="H232" s="5"/>
      <c r="I232" s="5"/>
      <c r="J232" s="5"/>
      <c r="K232" s="5"/>
      <c r="L232" s="5"/>
      <c r="M232" s="5"/>
      <c r="N232" s="5"/>
      <c r="O232" s="5"/>
      <c r="P232" s="5"/>
      <c r="Q232" s="5"/>
      <c r="R232" s="5"/>
      <c r="S232" s="5"/>
      <c r="T232" s="5"/>
      <c r="U232" s="5"/>
      <c r="V232" s="5"/>
      <c r="W232" s="14"/>
      <c r="X232" s="14"/>
      <c r="Y232" s="14"/>
      <c r="Z232" s="14"/>
    </row>
    <row r="233" ht="15.75" customHeight="1">
      <c r="A233" s="5"/>
      <c r="B233" s="5"/>
      <c r="C233" s="6"/>
      <c r="D233" s="6"/>
      <c r="E233" s="5"/>
      <c r="F233" s="5"/>
      <c r="G233" s="5"/>
      <c r="H233" s="5"/>
      <c r="I233" s="5"/>
      <c r="J233" s="5"/>
      <c r="K233" s="5"/>
      <c r="L233" s="5"/>
      <c r="M233" s="5"/>
      <c r="N233" s="5"/>
      <c r="O233" s="5"/>
      <c r="P233" s="5"/>
      <c r="Q233" s="5"/>
      <c r="R233" s="5"/>
      <c r="S233" s="5"/>
      <c r="T233" s="5"/>
      <c r="U233" s="5"/>
      <c r="V233" s="5"/>
      <c r="W233" s="14"/>
      <c r="X233" s="14"/>
      <c r="Y233" s="14"/>
      <c r="Z233" s="14"/>
    </row>
    <row r="234" ht="15.75" customHeight="1">
      <c r="A234" s="5"/>
      <c r="B234" s="5"/>
      <c r="C234" s="6"/>
      <c r="D234" s="6"/>
      <c r="E234" s="5"/>
      <c r="F234" s="5"/>
      <c r="G234" s="5"/>
      <c r="H234" s="5"/>
      <c r="I234" s="5"/>
      <c r="J234" s="5"/>
      <c r="K234" s="5"/>
      <c r="L234" s="5"/>
      <c r="M234" s="5"/>
      <c r="N234" s="5"/>
      <c r="O234" s="5"/>
      <c r="P234" s="5"/>
      <c r="Q234" s="5"/>
      <c r="R234" s="5"/>
      <c r="S234" s="5"/>
      <c r="T234" s="5"/>
      <c r="U234" s="5"/>
      <c r="V234" s="5"/>
      <c r="W234" s="14"/>
      <c r="X234" s="14"/>
      <c r="Y234" s="14"/>
      <c r="Z234" s="14"/>
    </row>
    <row r="235" ht="15.75" customHeight="1">
      <c r="A235" s="5"/>
      <c r="B235" s="5"/>
      <c r="C235" s="6"/>
      <c r="D235" s="6"/>
      <c r="E235" s="5"/>
      <c r="F235" s="5"/>
      <c r="G235" s="5"/>
      <c r="H235" s="5"/>
      <c r="I235" s="5"/>
      <c r="J235" s="5"/>
      <c r="K235" s="5"/>
      <c r="L235" s="5"/>
      <c r="M235" s="5"/>
      <c r="N235" s="5"/>
      <c r="O235" s="5"/>
      <c r="P235" s="5"/>
      <c r="Q235" s="5"/>
      <c r="R235" s="5"/>
      <c r="S235" s="5"/>
      <c r="T235" s="5"/>
      <c r="U235" s="5"/>
      <c r="V235" s="5"/>
      <c r="W235" s="14"/>
      <c r="X235" s="14"/>
      <c r="Y235" s="14"/>
      <c r="Z235" s="14"/>
    </row>
    <row r="236" ht="15.75" customHeight="1">
      <c r="A236" s="5"/>
      <c r="B236" s="5"/>
      <c r="C236" s="6"/>
      <c r="D236" s="6"/>
      <c r="E236" s="5"/>
      <c r="F236" s="5"/>
      <c r="G236" s="5"/>
      <c r="H236" s="5"/>
      <c r="I236" s="5"/>
      <c r="J236" s="5"/>
      <c r="K236" s="5"/>
      <c r="L236" s="5"/>
      <c r="M236" s="5"/>
      <c r="N236" s="5"/>
      <c r="O236" s="5"/>
      <c r="P236" s="5"/>
      <c r="Q236" s="5"/>
      <c r="R236" s="5"/>
      <c r="S236" s="5"/>
      <c r="T236" s="5"/>
      <c r="U236" s="5"/>
      <c r="V236" s="5"/>
      <c r="W236" s="14"/>
      <c r="X236" s="14"/>
      <c r="Y236" s="14"/>
      <c r="Z236" s="14"/>
    </row>
    <row r="237" ht="15.75" customHeight="1">
      <c r="A237" s="5"/>
      <c r="B237" s="5"/>
      <c r="C237" s="6"/>
      <c r="D237" s="6"/>
      <c r="E237" s="5"/>
      <c r="F237" s="5"/>
      <c r="G237" s="5"/>
      <c r="H237" s="5"/>
      <c r="I237" s="5"/>
      <c r="J237" s="5"/>
      <c r="K237" s="5"/>
      <c r="L237" s="5"/>
      <c r="M237" s="5"/>
      <c r="N237" s="5"/>
      <c r="O237" s="5"/>
      <c r="P237" s="5"/>
      <c r="Q237" s="5"/>
      <c r="R237" s="5"/>
      <c r="S237" s="5"/>
      <c r="T237" s="5"/>
      <c r="U237" s="5"/>
      <c r="V237" s="5"/>
      <c r="W237" s="14"/>
      <c r="X237" s="14"/>
      <c r="Y237" s="14"/>
      <c r="Z237" s="14"/>
    </row>
    <row r="238" ht="15.75" customHeight="1">
      <c r="A238" s="5"/>
      <c r="B238" s="5"/>
      <c r="C238" s="6"/>
      <c r="D238" s="6"/>
      <c r="E238" s="5"/>
      <c r="F238" s="5"/>
      <c r="G238" s="5"/>
      <c r="H238" s="5"/>
      <c r="I238" s="5"/>
      <c r="J238" s="5"/>
      <c r="K238" s="5"/>
      <c r="L238" s="5"/>
      <c r="M238" s="5"/>
      <c r="N238" s="5"/>
      <c r="O238" s="5"/>
      <c r="P238" s="5"/>
      <c r="Q238" s="5"/>
      <c r="R238" s="5"/>
      <c r="S238" s="5"/>
      <c r="T238" s="5"/>
      <c r="U238" s="5"/>
      <c r="V238" s="5"/>
      <c r="W238" s="14"/>
      <c r="X238" s="14"/>
      <c r="Y238" s="14"/>
      <c r="Z238" s="14"/>
    </row>
    <row r="239" ht="15.75" customHeight="1">
      <c r="A239" s="5"/>
      <c r="B239" s="5"/>
      <c r="C239" s="6"/>
      <c r="D239" s="6"/>
      <c r="E239" s="5"/>
      <c r="F239" s="5"/>
      <c r="G239" s="5"/>
      <c r="H239" s="5"/>
      <c r="I239" s="5"/>
      <c r="J239" s="5"/>
      <c r="K239" s="5"/>
      <c r="L239" s="5"/>
      <c r="M239" s="5"/>
      <c r="N239" s="5"/>
      <c r="O239" s="5"/>
      <c r="P239" s="5"/>
      <c r="Q239" s="5"/>
      <c r="R239" s="5"/>
      <c r="S239" s="5"/>
      <c r="T239" s="5"/>
      <c r="U239" s="5"/>
      <c r="V239" s="5"/>
      <c r="W239" s="14"/>
      <c r="X239" s="14"/>
      <c r="Y239" s="14"/>
      <c r="Z239" s="14"/>
    </row>
    <row r="240" ht="15.75" customHeight="1">
      <c r="A240" s="5"/>
      <c r="B240" s="5"/>
      <c r="C240" s="6"/>
      <c r="D240" s="6"/>
      <c r="E240" s="5"/>
      <c r="F240" s="5"/>
      <c r="G240" s="5"/>
      <c r="H240" s="5"/>
      <c r="I240" s="5"/>
      <c r="J240" s="5"/>
      <c r="K240" s="5"/>
      <c r="L240" s="5"/>
      <c r="M240" s="5"/>
      <c r="N240" s="5"/>
      <c r="O240" s="5"/>
      <c r="P240" s="5"/>
      <c r="Q240" s="5"/>
      <c r="R240" s="5"/>
      <c r="S240" s="5"/>
      <c r="T240" s="5"/>
      <c r="U240" s="5"/>
      <c r="V240" s="5"/>
      <c r="W240" s="14"/>
      <c r="X240" s="14"/>
      <c r="Y240" s="14"/>
      <c r="Z240" s="14"/>
    </row>
    <row r="241" ht="15.75" customHeight="1">
      <c r="A241" s="5"/>
      <c r="B241" s="5"/>
      <c r="C241" s="6"/>
      <c r="D241" s="6"/>
      <c r="E241" s="5"/>
      <c r="F241" s="5"/>
      <c r="G241" s="5"/>
      <c r="H241" s="5"/>
      <c r="I241" s="5"/>
      <c r="J241" s="5"/>
      <c r="K241" s="5"/>
      <c r="L241" s="5"/>
      <c r="M241" s="5"/>
      <c r="N241" s="5"/>
      <c r="O241" s="5"/>
      <c r="P241" s="5"/>
      <c r="Q241" s="5"/>
      <c r="R241" s="5"/>
      <c r="S241" s="5"/>
      <c r="T241" s="5"/>
      <c r="U241" s="5"/>
      <c r="V241" s="5"/>
      <c r="W241" s="14"/>
      <c r="X241" s="14"/>
      <c r="Y241" s="14"/>
      <c r="Z241" s="14"/>
    </row>
    <row r="242" ht="15.75" customHeight="1">
      <c r="A242" s="5"/>
      <c r="B242" s="5"/>
      <c r="C242" s="6"/>
      <c r="D242" s="6"/>
      <c r="E242" s="5"/>
      <c r="F242" s="5"/>
      <c r="G242" s="5"/>
      <c r="H242" s="5"/>
      <c r="I242" s="5"/>
      <c r="J242" s="5"/>
      <c r="K242" s="5"/>
      <c r="L242" s="5"/>
      <c r="M242" s="5"/>
      <c r="N242" s="5"/>
      <c r="O242" s="5"/>
      <c r="P242" s="5"/>
      <c r="Q242" s="5"/>
      <c r="R242" s="5"/>
      <c r="S242" s="5"/>
      <c r="T242" s="5"/>
      <c r="U242" s="5"/>
      <c r="V242" s="5"/>
      <c r="W242" s="14"/>
      <c r="X242" s="14"/>
      <c r="Y242" s="14"/>
      <c r="Z242" s="14"/>
    </row>
    <row r="243" ht="15.75" customHeight="1">
      <c r="A243" s="5"/>
      <c r="B243" s="5"/>
      <c r="C243" s="6"/>
      <c r="D243" s="6"/>
      <c r="E243" s="5"/>
      <c r="F243" s="5"/>
      <c r="G243" s="5"/>
      <c r="H243" s="5"/>
      <c r="I243" s="5"/>
      <c r="J243" s="5"/>
      <c r="K243" s="5"/>
      <c r="L243" s="5"/>
      <c r="M243" s="5"/>
      <c r="N243" s="5"/>
      <c r="O243" s="5"/>
      <c r="P243" s="5"/>
      <c r="Q243" s="5"/>
      <c r="R243" s="5"/>
      <c r="S243" s="5"/>
      <c r="T243" s="5"/>
      <c r="U243" s="5"/>
      <c r="V243" s="5"/>
      <c r="W243" s="14"/>
      <c r="X243" s="14"/>
      <c r="Y243" s="14"/>
      <c r="Z243" s="14"/>
    </row>
    <row r="244" ht="15.75" customHeight="1">
      <c r="A244" s="5"/>
      <c r="B244" s="5"/>
      <c r="C244" s="6"/>
      <c r="D244" s="6"/>
      <c r="E244" s="5"/>
      <c r="F244" s="5"/>
      <c r="G244" s="5"/>
      <c r="H244" s="5"/>
      <c r="I244" s="5"/>
      <c r="J244" s="5"/>
      <c r="K244" s="5"/>
      <c r="L244" s="5"/>
      <c r="M244" s="5"/>
      <c r="N244" s="5"/>
      <c r="O244" s="5"/>
      <c r="P244" s="5"/>
      <c r="Q244" s="5"/>
      <c r="R244" s="5"/>
      <c r="S244" s="5"/>
      <c r="T244" s="5"/>
      <c r="U244" s="5"/>
      <c r="V244" s="5"/>
      <c r="W244" s="14"/>
      <c r="X244" s="14"/>
      <c r="Y244" s="14"/>
      <c r="Z244" s="14"/>
    </row>
    <row r="245" ht="15.75" customHeight="1">
      <c r="A245" s="5"/>
      <c r="B245" s="5"/>
      <c r="C245" s="6"/>
      <c r="D245" s="6"/>
      <c r="E245" s="5"/>
      <c r="F245" s="5"/>
      <c r="G245" s="5"/>
      <c r="H245" s="5"/>
      <c r="I245" s="5"/>
      <c r="J245" s="5"/>
      <c r="K245" s="5"/>
      <c r="L245" s="5"/>
      <c r="M245" s="5"/>
      <c r="N245" s="5"/>
      <c r="O245" s="5"/>
      <c r="P245" s="5"/>
      <c r="Q245" s="5"/>
      <c r="R245" s="5"/>
      <c r="S245" s="5"/>
      <c r="T245" s="5"/>
      <c r="U245" s="5"/>
      <c r="V245" s="5"/>
      <c r="W245" s="14"/>
      <c r="X245" s="14"/>
      <c r="Y245" s="14"/>
      <c r="Z245" s="14"/>
    </row>
    <row r="246" ht="15.75" customHeight="1">
      <c r="A246" s="5"/>
      <c r="B246" s="5"/>
      <c r="C246" s="6"/>
      <c r="D246" s="6"/>
      <c r="E246" s="5"/>
      <c r="F246" s="5"/>
      <c r="G246" s="5"/>
      <c r="H246" s="5"/>
      <c r="I246" s="5"/>
      <c r="J246" s="5"/>
      <c r="K246" s="5"/>
      <c r="L246" s="5"/>
      <c r="M246" s="5"/>
      <c r="N246" s="5"/>
      <c r="O246" s="5"/>
      <c r="P246" s="5"/>
      <c r="Q246" s="5"/>
      <c r="R246" s="5"/>
      <c r="S246" s="5"/>
      <c r="T246" s="5"/>
      <c r="U246" s="5"/>
      <c r="V246" s="5"/>
      <c r="W246" s="14"/>
      <c r="X246" s="14"/>
      <c r="Y246" s="14"/>
      <c r="Z246" s="14"/>
    </row>
    <row r="247" ht="15.75" customHeight="1">
      <c r="A247" s="5"/>
      <c r="B247" s="5"/>
      <c r="C247" s="6"/>
      <c r="D247" s="6"/>
      <c r="E247" s="5"/>
      <c r="F247" s="5"/>
      <c r="G247" s="5"/>
      <c r="H247" s="5"/>
      <c r="I247" s="5"/>
      <c r="J247" s="5"/>
      <c r="K247" s="5"/>
      <c r="L247" s="5"/>
      <c r="M247" s="5"/>
      <c r="N247" s="5"/>
      <c r="O247" s="5"/>
      <c r="P247" s="5"/>
      <c r="Q247" s="5"/>
      <c r="R247" s="5"/>
      <c r="S247" s="5"/>
      <c r="T247" s="5"/>
      <c r="U247" s="5"/>
      <c r="V247" s="5"/>
      <c r="W247" s="14"/>
      <c r="X247" s="14"/>
      <c r="Y247" s="14"/>
      <c r="Z247" s="14"/>
    </row>
    <row r="248" ht="15.75" customHeight="1">
      <c r="A248" s="5"/>
      <c r="B248" s="5"/>
      <c r="C248" s="6"/>
      <c r="D248" s="6"/>
      <c r="E248" s="5"/>
      <c r="F248" s="5"/>
      <c r="G248" s="5"/>
      <c r="H248" s="5"/>
      <c r="I248" s="5"/>
      <c r="J248" s="5"/>
      <c r="K248" s="5"/>
      <c r="L248" s="5"/>
      <c r="M248" s="5"/>
      <c r="N248" s="5"/>
      <c r="O248" s="5"/>
      <c r="P248" s="5"/>
      <c r="Q248" s="5"/>
      <c r="R248" s="5"/>
      <c r="S248" s="5"/>
      <c r="T248" s="5"/>
      <c r="U248" s="5"/>
      <c r="V248" s="5"/>
      <c r="W248" s="14"/>
      <c r="X248" s="14"/>
      <c r="Y248" s="14"/>
      <c r="Z248" s="14"/>
    </row>
    <row r="249" ht="15.75" customHeight="1">
      <c r="A249" s="5"/>
      <c r="B249" s="5"/>
      <c r="C249" s="6"/>
      <c r="D249" s="6"/>
      <c r="E249" s="5"/>
      <c r="F249" s="5"/>
      <c r="G249" s="5"/>
      <c r="H249" s="5"/>
      <c r="I249" s="5"/>
      <c r="J249" s="5"/>
      <c r="K249" s="5"/>
      <c r="L249" s="5"/>
      <c r="M249" s="5"/>
      <c r="N249" s="5"/>
      <c r="O249" s="5"/>
      <c r="P249" s="5"/>
      <c r="Q249" s="5"/>
      <c r="R249" s="5"/>
      <c r="S249" s="5"/>
      <c r="T249" s="5"/>
      <c r="U249" s="5"/>
      <c r="V249" s="5"/>
      <c r="W249" s="14"/>
      <c r="X249" s="14"/>
      <c r="Y249" s="14"/>
      <c r="Z249" s="14"/>
    </row>
    <row r="250" ht="15.75" customHeight="1">
      <c r="A250" s="5"/>
      <c r="B250" s="5"/>
      <c r="C250" s="6"/>
      <c r="D250" s="6"/>
      <c r="E250" s="5"/>
      <c r="F250" s="5"/>
      <c r="G250" s="5"/>
      <c r="H250" s="5"/>
      <c r="I250" s="5"/>
      <c r="J250" s="5"/>
      <c r="K250" s="5"/>
      <c r="L250" s="5"/>
      <c r="M250" s="5"/>
      <c r="N250" s="5"/>
      <c r="O250" s="5"/>
      <c r="P250" s="5"/>
      <c r="Q250" s="5"/>
      <c r="R250" s="5"/>
      <c r="S250" s="5"/>
      <c r="T250" s="5"/>
      <c r="U250" s="5"/>
      <c r="V250" s="5"/>
      <c r="W250" s="14"/>
      <c r="X250" s="14"/>
      <c r="Y250" s="14"/>
      <c r="Z250" s="14"/>
    </row>
    <row r="251" ht="15.75" customHeight="1">
      <c r="A251" s="5"/>
      <c r="B251" s="5"/>
      <c r="C251" s="6"/>
      <c r="D251" s="6"/>
      <c r="E251" s="5"/>
      <c r="F251" s="5"/>
      <c r="G251" s="5"/>
      <c r="H251" s="5"/>
      <c r="I251" s="5"/>
      <c r="J251" s="5"/>
      <c r="K251" s="5"/>
      <c r="L251" s="5"/>
      <c r="M251" s="5"/>
      <c r="N251" s="5"/>
      <c r="O251" s="5"/>
      <c r="P251" s="5"/>
      <c r="Q251" s="5"/>
      <c r="R251" s="5"/>
      <c r="S251" s="5"/>
      <c r="T251" s="5"/>
      <c r="U251" s="5"/>
      <c r="V251" s="5"/>
      <c r="W251" s="14"/>
      <c r="X251" s="14"/>
      <c r="Y251" s="14"/>
      <c r="Z251" s="14"/>
    </row>
    <row r="252" ht="15.75" customHeight="1">
      <c r="A252" s="5"/>
      <c r="B252" s="5"/>
      <c r="C252" s="6"/>
      <c r="D252" s="6"/>
      <c r="E252" s="5"/>
      <c r="F252" s="5"/>
      <c r="G252" s="5"/>
      <c r="H252" s="5"/>
      <c r="I252" s="5"/>
      <c r="J252" s="5"/>
      <c r="K252" s="5"/>
      <c r="L252" s="5"/>
      <c r="M252" s="5"/>
      <c r="N252" s="5"/>
      <c r="O252" s="5"/>
      <c r="P252" s="5"/>
      <c r="Q252" s="5"/>
      <c r="R252" s="5"/>
      <c r="S252" s="5"/>
      <c r="T252" s="5"/>
      <c r="U252" s="5"/>
      <c r="V252" s="5"/>
      <c r="W252" s="14"/>
      <c r="X252" s="14"/>
      <c r="Y252" s="14"/>
      <c r="Z252" s="14"/>
    </row>
    <row r="253" ht="15.75" customHeight="1">
      <c r="A253" s="5"/>
      <c r="B253" s="5"/>
      <c r="C253" s="6"/>
      <c r="D253" s="6"/>
      <c r="E253" s="5"/>
      <c r="F253" s="5"/>
      <c r="G253" s="5"/>
      <c r="H253" s="5"/>
      <c r="I253" s="5"/>
      <c r="J253" s="5"/>
      <c r="K253" s="5"/>
      <c r="L253" s="5"/>
      <c r="M253" s="5"/>
      <c r="N253" s="5"/>
      <c r="O253" s="5"/>
      <c r="P253" s="5"/>
      <c r="Q253" s="5"/>
      <c r="R253" s="5"/>
      <c r="S253" s="5"/>
      <c r="T253" s="5"/>
      <c r="U253" s="5"/>
      <c r="V253" s="5"/>
      <c r="W253" s="14"/>
      <c r="X253" s="14"/>
      <c r="Y253" s="14"/>
      <c r="Z253" s="14"/>
    </row>
    <row r="254" ht="15.75" customHeight="1">
      <c r="A254" s="5"/>
      <c r="B254" s="5"/>
      <c r="C254" s="6"/>
      <c r="D254" s="6"/>
      <c r="E254" s="5"/>
      <c r="F254" s="5"/>
      <c r="G254" s="5"/>
      <c r="H254" s="5"/>
      <c r="I254" s="5"/>
      <c r="J254" s="5"/>
      <c r="K254" s="5"/>
      <c r="L254" s="5"/>
      <c r="M254" s="5"/>
      <c r="N254" s="5"/>
      <c r="O254" s="5"/>
      <c r="P254" s="5"/>
      <c r="Q254" s="5"/>
      <c r="R254" s="5"/>
      <c r="S254" s="5"/>
      <c r="T254" s="5"/>
      <c r="U254" s="5"/>
      <c r="V254" s="5"/>
      <c r="W254" s="14"/>
      <c r="X254" s="14"/>
      <c r="Y254" s="14"/>
      <c r="Z254" s="14"/>
    </row>
    <row r="255" ht="15.75" customHeight="1">
      <c r="A255" s="5"/>
      <c r="B255" s="5"/>
      <c r="C255" s="6"/>
      <c r="D255" s="6"/>
      <c r="E255" s="5"/>
      <c r="F255" s="5"/>
      <c r="G255" s="5"/>
      <c r="H255" s="5"/>
      <c r="I255" s="5"/>
      <c r="J255" s="5"/>
      <c r="K255" s="5"/>
      <c r="L255" s="5"/>
      <c r="M255" s="5"/>
      <c r="N255" s="5"/>
      <c r="O255" s="5"/>
      <c r="P255" s="5"/>
      <c r="Q255" s="5"/>
      <c r="R255" s="5"/>
      <c r="S255" s="5"/>
      <c r="T255" s="5"/>
      <c r="U255" s="5"/>
      <c r="V255" s="5"/>
      <c r="W255" s="14"/>
      <c r="X255" s="14"/>
      <c r="Y255" s="14"/>
      <c r="Z255" s="14"/>
    </row>
    <row r="256" ht="15.75" customHeight="1">
      <c r="A256" s="5"/>
      <c r="B256" s="5"/>
      <c r="C256" s="6"/>
      <c r="D256" s="6"/>
      <c r="E256" s="5"/>
      <c r="F256" s="5"/>
      <c r="G256" s="5"/>
      <c r="H256" s="5"/>
      <c r="I256" s="5"/>
      <c r="J256" s="5"/>
      <c r="K256" s="5"/>
      <c r="L256" s="5"/>
      <c r="M256" s="5"/>
      <c r="N256" s="5"/>
      <c r="O256" s="5"/>
      <c r="P256" s="5"/>
      <c r="Q256" s="5"/>
      <c r="R256" s="5"/>
      <c r="S256" s="5"/>
      <c r="T256" s="5"/>
      <c r="U256" s="5"/>
      <c r="V256" s="5"/>
      <c r="W256" s="14"/>
      <c r="X256" s="14"/>
      <c r="Y256" s="14"/>
      <c r="Z256" s="14"/>
    </row>
    <row r="257" ht="15.75" customHeight="1">
      <c r="A257" s="5"/>
      <c r="B257" s="5"/>
      <c r="C257" s="6"/>
      <c r="D257" s="6"/>
      <c r="E257" s="5"/>
      <c r="F257" s="5"/>
      <c r="G257" s="5"/>
      <c r="H257" s="5"/>
      <c r="I257" s="5"/>
      <c r="J257" s="5"/>
      <c r="K257" s="5"/>
      <c r="L257" s="5"/>
      <c r="M257" s="5"/>
      <c r="N257" s="5"/>
      <c r="O257" s="5"/>
      <c r="P257" s="5"/>
      <c r="Q257" s="5"/>
      <c r="R257" s="5"/>
      <c r="S257" s="5"/>
      <c r="T257" s="5"/>
      <c r="U257" s="5"/>
      <c r="V257" s="5"/>
      <c r="W257" s="14"/>
      <c r="X257" s="14"/>
      <c r="Y257" s="14"/>
      <c r="Z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7">
    <mergeCell ref="A1:D1"/>
    <mergeCell ref="E1:E5"/>
    <mergeCell ref="A2:B2"/>
    <mergeCell ref="A3:B3"/>
    <mergeCell ref="A4:B4"/>
    <mergeCell ref="A5:B5"/>
    <mergeCell ref="A6:B6"/>
    <mergeCell ref="A7:B7"/>
    <mergeCell ref="A8:C8"/>
    <mergeCell ref="A13:B13"/>
    <mergeCell ref="A15:B15"/>
    <mergeCell ref="A16:C16"/>
    <mergeCell ref="A21:B21"/>
    <mergeCell ref="A24:C24"/>
    <mergeCell ref="A52:B52"/>
    <mergeCell ref="A53:B53"/>
    <mergeCell ref="A54:B54"/>
    <mergeCell ref="A55:E55"/>
    <mergeCell ref="A56:E56"/>
    <mergeCell ref="A57:E57"/>
    <mergeCell ref="A23:B23"/>
    <mergeCell ref="A32:B32"/>
    <mergeCell ref="A33:C33"/>
    <mergeCell ref="A40:B40"/>
    <mergeCell ref="A41:C41"/>
    <mergeCell ref="A49:B49"/>
    <mergeCell ref="A50:B5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3.5"/>
    <col customWidth="1" min="2" max="2" width="11.88"/>
    <col customWidth="1" min="3" max="3" width="11.63"/>
  </cols>
  <sheetData>
    <row r="1" ht="15.75" customHeight="1">
      <c r="A1" s="58" t="s">
        <v>136</v>
      </c>
    </row>
    <row r="2" ht="15.75" customHeight="1">
      <c r="A2" s="59"/>
      <c r="B2" s="60"/>
      <c r="C2" s="61"/>
    </row>
    <row r="3" ht="15.75" customHeight="1">
      <c r="A3" s="62" t="s">
        <v>137</v>
      </c>
      <c r="B3" s="63" t="s">
        <v>138</v>
      </c>
      <c r="C3" s="64" t="s">
        <v>12</v>
      </c>
    </row>
    <row r="4" ht="15.75" customHeight="1">
      <c r="A4" s="65" t="str">
        <f>Scorecard!A8</f>
        <v>I. Climate / Nature &amp; Biodiversity</v>
      </c>
      <c r="B4" s="66">
        <f>Scorecard!C14</f>
        <v>0.3</v>
      </c>
      <c r="C4" s="67">
        <f>B4*Scorecard!D14</f>
        <v>0.3</v>
      </c>
    </row>
    <row r="5" ht="15.75" customHeight="1">
      <c r="A5" s="65" t="str">
        <f>Scorecard!A16</f>
        <v>II. Breadth &amp; Depth of Gender </v>
      </c>
      <c r="B5" s="66">
        <f>Scorecard!C22</f>
        <v>0.2</v>
      </c>
      <c r="C5" s="67">
        <f>B5*Scorecard!D22</f>
        <v>0.48</v>
      </c>
    </row>
    <row r="6" ht="15.75" customHeight="1">
      <c r="A6" s="65" t="str">
        <f>Scorecard!A24</f>
        <v>III. Climate &amp; Gender Integration</v>
      </c>
      <c r="B6" s="66">
        <f>Scorecard!C31</f>
        <v>0.2</v>
      </c>
      <c r="C6" s="67">
        <f>B6*Scorecard!D31</f>
        <v>0.69</v>
      </c>
    </row>
    <row r="7" ht="15.75" customHeight="1">
      <c r="A7" s="65" t="str">
        <f>Scorecard!A33</f>
        <v>IV. Organization &amp; Team </v>
      </c>
      <c r="B7" s="66">
        <f>Scorecard!C39</f>
        <v>0.2</v>
      </c>
      <c r="C7" s="67">
        <f>B7*Scorecard!D39</f>
        <v>0.8</v>
      </c>
    </row>
    <row r="8" ht="15.75" customHeight="1">
      <c r="A8" s="65" t="str">
        <f>Scorecard!A41</f>
        <v>V. Fundraising, Fund Terms, Structure &amp; Risk</v>
      </c>
      <c r="B8" s="66">
        <f>Scorecard!C48</f>
        <v>0.1</v>
      </c>
      <c r="C8" s="67">
        <f>B8*Scorecard!D48</f>
        <v>0.335</v>
      </c>
    </row>
    <row r="9" ht="15.75" customHeight="1">
      <c r="A9" s="68" t="s">
        <v>139</v>
      </c>
      <c r="B9" s="69">
        <f t="shared" ref="B9:C9" si="1">SUM(B4:B8)</f>
        <v>1</v>
      </c>
      <c r="C9" s="70">
        <f t="shared" si="1"/>
        <v>2.605</v>
      </c>
    </row>
    <row r="10" ht="15.75" customHeight="1">
      <c r="A10" s="71"/>
      <c r="B10" s="71"/>
      <c r="C10" s="71"/>
    </row>
    <row r="11" ht="15.75" customHeight="1">
      <c r="A11" s="71"/>
      <c r="B11" s="71"/>
      <c r="C11" s="71"/>
    </row>
    <row r="12" ht="15.75" customHeight="1">
      <c r="A12" s="71"/>
      <c r="B12" s="71"/>
      <c r="C12" s="71"/>
    </row>
    <row r="13" ht="15.75" customHeight="1">
      <c r="A13" s="71"/>
      <c r="B13" s="71"/>
      <c r="C13" s="71"/>
    </row>
    <row r="14" ht="15.75" customHeight="1">
      <c r="A14" s="71"/>
      <c r="B14" s="71"/>
      <c r="C14" s="71"/>
    </row>
    <row r="15" ht="15.75" customHeight="1">
      <c r="A15" s="71"/>
      <c r="B15" s="71"/>
      <c r="C15" s="71"/>
    </row>
    <row r="16" ht="15.75" customHeight="1">
      <c r="A16" s="71"/>
      <c r="B16" s="71"/>
      <c r="C16" s="71"/>
    </row>
    <row r="17" ht="15.75" customHeight="1">
      <c r="A17" s="71"/>
      <c r="B17" s="71"/>
      <c r="C17" s="71"/>
    </row>
    <row r="18" ht="15.75" customHeight="1">
      <c r="A18" s="71"/>
      <c r="B18" s="71"/>
      <c r="C18" s="71"/>
    </row>
    <row r="19" ht="15.75" customHeight="1">
      <c r="A19" s="71"/>
      <c r="B19" s="71"/>
      <c r="C19" s="71"/>
    </row>
    <row r="20" ht="15.75" customHeight="1">
      <c r="A20" s="71"/>
      <c r="B20" s="71"/>
      <c r="C20" s="71"/>
    </row>
    <row r="21" ht="15.75" customHeight="1">
      <c r="A21" s="71"/>
      <c r="B21" s="71"/>
      <c r="C21" s="71"/>
    </row>
    <row r="22" ht="15.75" customHeight="1">
      <c r="A22" s="71"/>
      <c r="B22" s="71"/>
      <c r="C22" s="71"/>
    </row>
    <row r="23" ht="15.75" customHeight="1">
      <c r="A23" s="71"/>
      <c r="B23" s="71"/>
      <c r="C23" s="71"/>
    </row>
    <row r="24" ht="15.75" customHeight="1">
      <c r="A24" s="71"/>
      <c r="B24" s="71"/>
      <c r="C24" s="71"/>
    </row>
    <row r="25" ht="15.75" customHeight="1">
      <c r="A25" s="71"/>
      <c r="B25" s="71"/>
      <c r="C25" s="71"/>
    </row>
    <row r="26" ht="15.75" customHeight="1">
      <c r="A26" s="71"/>
      <c r="B26" s="71"/>
      <c r="C26" s="71"/>
    </row>
    <row r="27" ht="15.75" customHeight="1">
      <c r="A27" s="71"/>
      <c r="B27" s="71"/>
      <c r="C27" s="71"/>
    </row>
    <row r="28" ht="15.75" customHeight="1">
      <c r="A28" s="71"/>
      <c r="B28" s="71"/>
      <c r="C28" s="71"/>
    </row>
    <row r="29" ht="15.75" customHeight="1">
      <c r="A29" s="71"/>
      <c r="B29" s="71"/>
      <c r="C29" s="71"/>
    </row>
    <row r="30" ht="15.75" customHeight="1">
      <c r="A30" s="71"/>
      <c r="B30" s="71"/>
      <c r="C30" s="71"/>
    </row>
    <row r="31" ht="15.75" customHeight="1">
      <c r="A31" s="71"/>
      <c r="B31" s="71"/>
      <c r="C31" s="71"/>
    </row>
    <row r="32" ht="15.75" customHeight="1">
      <c r="A32" s="71"/>
      <c r="B32" s="71"/>
      <c r="C32" s="71"/>
    </row>
    <row r="33" ht="15.75" customHeight="1">
      <c r="A33" s="71"/>
      <c r="B33" s="71"/>
      <c r="C33" s="71"/>
    </row>
    <row r="34" ht="15.75" customHeight="1">
      <c r="A34" s="71"/>
      <c r="B34" s="71"/>
      <c r="C34" s="71"/>
    </row>
    <row r="35" ht="15.75" customHeight="1">
      <c r="A35" s="71"/>
      <c r="B35" s="71"/>
      <c r="C35" s="71"/>
    </row>
    <row r="36" ht="15.75" customHeight="1">
      <c r="A36" s="71"/>
      <c r="B36" s="71"/>
      <c r="C36" s="71"/>
    </row>
    <row r="37" ht="15.75" customHeight="1">
      <c r="A37" s="71"/>
      <c r="B37" s="71"/>
      <c r="C37" s="71"/>
    </row>
    <row r="38" ht="15.75" customHeight="1">
      <c r="A38" s="71"/>
      <c r="B38" s="71"/>
      <c r="C38" s="71"/>
    </row>
    <row r="39" ht="15.75" customHeight="1">
      <c r="A39" s="71"/>
      <c r="B39" s="71"/>
      <c r="C39" s="71"/>
    </row>
    <row r="40" ht="15.75" customHeight="1">
      <c r="A40" s="71"/>
      <c r="B40" s="71"/>
      <c r="C40" s="71"/>
    </row>
    <row r="41" ht="15.75" customHeight="1">
      <c r="A41" s="71"/>
      <c r="B41" s="71"/>
      <c r="C41" s="71"/>
    </row>
    <row r="42" ht="15.75" customHeight="1">
      <c r="A42" s="71"/>
      <c r="B42" s="71"/>
      <c r="C42" s="71"/>
    </row>
    <row r="43" ht="15.75" customHeight="1">
      <c r="A43" s="71"/>
      <c r="B43" s="71"/>
      <c r="C43" s="71"/>
    </row>
    <row r="44" ht="15.75" customHeight="1">
      <c r="A44" s="71"/>
      <c r="B44" s="71"/>
      <c r="C44" s="71"/>
    </row>
    <row r="45" ht="15.75" customHeight="1">
      <c r="A45" s="71"/>
      <c r="B45" s="71"/>
      <c r="C45" s="71"/>
    </row>
    <row r="46" ht="15.75" customHeight="1">
      <c r="A46" s="71"/>
      <c r="B46" s="71"/>
      <c r="C46" s="71"/>
    </row>
    <row r="47" ht="15.75" customHeight="1">
      <c r="A47" s="71"/>
      <c r="B47" s="71"/>
      <c r="C47" s="71"/>
    </row>
    <row r="48" ht="15.75" customHeight="1">
      <c r="A48" s="71"/>
      <c r="B48" s="71"/>
      <c r="C48" s="71"/>
    </row>
    <row r="49" ht="15.75" customHeight="1">
      <c r="A49" s="71"/>
      <c r="B49" s="71"/>
      <c r="C49" s="71"/>
    </row>
    <row r="50" ht="15.75" customHeight="1">
      <c r="A50" s="71"/>
      <c r="B50" s="71"/>
      <c r="C50" s="71"/>
    </row>
    <row r="51" ht="15.75" customHeight="1">
      <c r="A51" s="71"/>
      <c r="B51" s="71"/>
      <c r="C51" s="71"/>
    </row>
    <row r="52" ht="15.75" customHeight="1">
      <c r="A52" s="71"/>
      <c r="B52" s="71"/>
      <c r="C52" s="71"/>
    </row>
    <row r="53" ht="15.75" customHeight="1">
      <c r="A53" s="71"/>
      <c r="B53" s="71"/>
      <c r="C53" s="71"/>
    </row>
    <row r="54" ht="15.75" customHeight="1">
      <c r="A54" s="71"/>
      <c r="B54" s="71"/>
      <c r="C54" s="71"/>
    </row>
    <row r="55" ht="15.75" customHeight="1">
      <c r="A55" s="71"/>
      <c r="B55" s="71"/>
      <c r="C55" s="71"/>
    </row>
    <row r="56" ht="15.75" customHeight="1">
      <c r="A56" s="71"/>
      <c r="B56" s="71"/>
      <c r="C56" s="71"/>
    </row>
    <row r="57" ht="15.75" customHeight="1">
      <c r="A57" s="71"/>
      <c r="B57" s="71"/>
      <c r="C57" s="71"/>
    </row>
    <row r="58" ht="15.75" customHeight="1">
      <c r="A58" s="71"/>
      <c r="B58" s="71"/>
      <c r="C58" s="71"/>
    </row>
    <row r="59" ht="15.75" customHeight="1">
      <c r="A59" s="71"/>
      <c r="B59" s="71"/>
      <c r="C59" s="71"/>
    </row>
    <row r="60" ht="15.75" customHeight="1">
      <c r="A60" s="71"/>
      <c r="B60" s="71"/>
      <c r="C60" s="71"/>
    </row>
    <row r="61" ht="15.75" customHeight="1">
      <c r="A61" s="71"/>
      <c r="B61" s="71"/>
      <c r="C61" s="71"/>
    </row>
    <row r="62" ht="15.75" customHeight="1">
      <c r="A62" s="71"/>
      <c r="B62" s="71"/>
      <c r="C62" s="71"/>
    </row>
    <row r="63" ht="15.75" customHeight="1">
      <c r="A63" s="71"/>
      <c r="B63" s="71"/>
      <c r="C63" s="71"/>
    </row>
    <row r="64" ht="15.75" customHeight="1">
      <c r="A64" s="71"/>
      <c r="B64" s="71"/>
      <c r="C64" s="71"/>
    </row>
    <row r="65" ht="15.75" customHeight="1">
      <c r="A65" s="71"/>
      <c r="B65" s="71"/>
      <c r="C65" s="71"/>
    </row>
    <row r="66" ht="15.75" customHeight="1">
      <c r="A66" s="71"/>
      <c r="B66" s="71"/>
      <c r="C66" s="71"/>
    </row>
    <row r="67" ht="15.75" customHeight="1">
      <c r="A67" s="71"/>
      <c r="B67" s="71"/>
      <c r="C67" s="71"/>
    </row>
    <row r="68" ht="15.75" customHeight="1">
      <c r="A68" s="71"/>
      <c r="B68" s="71"/>
      <c r="C68" s="71"/>
    </row>
    <row r="69" ht="15.75" customHeight="1">
      <c r="A69" s="71"/>
      <c r="B69" s="71"/>
      <c r="C69" s="71"/>
    </row>
    <row r="70" ht="15.75" customHeight="1">
      <c r="A70" s="71"/>
      <c r="B70" s="71"/>
      <c r="C70" s="71"/>
    </row>
    <row r="71" ht="15.75" customHeight="1">
      <c r="A71" s="71"/>
      <c r="B71" s="71"/>
      <c r="C71" s="71"/>
    </row>
    <row r="72" ht="15.75" customHeight="1">
      <c r="A72" s="71"/>
      <c r="B72" s="71"/>
      <c r="C72" s="71"/>
    </row>
    <row r="73" ht="15.75" customHeight="1">
      <c r="A73" s="71"/>
      <c r="B73" s="71"/>
      <c r="C73" s="71"/>
    </row>
    <row r="74" ht="15.75" customHeight="1">
      <c r="A74" s="71"/>
      <c r="B74" s="71"/>
      <c r="C74" s="71"/>
    </row>
    <row r="75" ht="15.75" customHeight="1">
      <c r="A75" s="71"/>
      <c r="B75" s="71"/>
      <c r="C75" s="71"/>
    </row>
    <row r="76" ht="15.75" customHeight="1">
      <c r="A76" s="71"/>
      <c r="B76" s="71"/>
      <c r="C76" s="71"/>
    </row>
    <row r="77" ht="15.75" customHeight="1">
      <c r="A77" s="71"/>
      <c r="B77" s="71"/>
      <c r="C77" s="71"/>
    </row>
    <row r="78" ht="15.75" customHeight="1">
      <c r="A78" s="71"/>
      <c r="B78" s="71"/>
      <c r="C78" s="71"/>
    </row>
    <row r="79" ht="15.75" customHeight="1">
      <c r="A79" s="71"/>
      <c r="B79" s="71"/>
      <c r="C79" s="71"/>
    </row>
    <row r="80" ht="15.75" customHeight="1">
      <c r="A80" s="71"/>
      <c r="B80" s="71"/>
      <c r="C80" s="71"/>
    </row>
    <row r="81" ht="15.75" customHeight="1">
      <c r="A81" s="71"/>
      <c r="B81" s="71"/>
      <c r="C81" s="71"/>
    </row>
    <row r="82" ht="15.75" customHeight="1">
      <c r="A82" s="71"/>
      <c r="B82" s="71"/>
      <c r="C82" s="71"/>
    </row>
    <row r="83" ht="15.75" customHeight="1">
      <c r="A83" s="71"/>
      <c r="B83" s="71"/>
      <c r="C83" s="71"/>
    </row>
    <row r="84" ht="15.75" customHeight="1">
      <c r="A84" s="71"/>
      <c r="B84" s="71"/>
      <c r="C84" s="71"/>
    </row>
    <row r="85" ht="15.75" customHeight="1">
      <c r="A85" s="71"/>
      <c r="B85" s="71"/>
      <c r="C85" s="71"/>
    </row>
    <row r="86" ht="15.75" customHeight="1">
      <c r="A86" s="71"/>
      <c r="B86" s="71"/>
      <c r="C86" s="71"/>
    </row>
    <row r="87" ht="15.75" customHeight="1">
      <c r="A87" s="71"/>
      <c r="B87" s="71"/>
      <c r="C87" s="71"/>
    </row>
    <row r="88" ht="15.75" customHeight="1">
      <c r="A88" s="71"/>
      <c r="B88" s="71"/>
      <c r="C88" s="71"/>
    </row>
    <row r="89" ht="15.75" customHeight="1">
      <c r="A89" s="71"/>
      <c r="B89" s="71"/>
      <c r="C89" s="71"/>
    </row>
    <row r="90" ht="15.75" customHeight="1">
      <c r="A90" s="71"/>
      <c r="B90" s="71"/>
      <c r="C90" s="71"/>
    </row>
    <row r="91" ht="15.75" customHeight="1">
      <c r="A91" s="71"/>
      <c r="B91" s="71"/>
      <c r="C91" s="71"/>
    </row>
    <row r="92" ht="15.75" customHeight="1">
      <c r="A92" s="71"/>
      <c r="B92" s="71"/>
      <c r="C92" s="71"/>
    </row>
    <row r="93" ht="15.75" customHeight="1">
      <c r="A93" s="71"/>
      <c r="B93" s="71"/>
      <c r="C93" s="71"/>
    </row>
    <row r="94" ht="15.75" customHeight="1">
      <c r="A94" s="71"/>
      <c r="B94" s="71"/>
      <c r="C94" s="71"/>
    </row>
    <row r="95" ht="15.75" customHeight="1">
      <c r="A95" s="71"/>
      <c r="B95" s="71"/>
      <c r="C95" s="71"/>
    </row>
    <row r="96" ht="15.75" customHeight="1">
      <c r="A96" s="71"/>
      <c r="B96" s="71"/>
      <c r="C96" s="71"/>
    </row>
    <row r="97" ht="15.75" customHeight="1">
      <c r="A97" s="71"/>
      <c r="B97" s="71"/>
      <c r="C97" s="71"/>
    </row>
    <row r="98" ht="15.75" customHeight="1">
      <c r="A98" s="71"/>
      <c r="B98" s="71"/>
      <c r="C98" s="71"/>
    </row>
    <row r="99" ht="15.75" customHeight="1">
      <c r="A99" s="71"/>
      <c r="B99" s="71"/>
      <c r="C99" s="71"/>
    </row>
    <row r="100" ht="15.75" customHeight="1">
      <c r="A100" s="71"/>
      <c r="B100" s="71"/>
      <c r="C100" s="71"/>
    </row>
    <row r="101" ht="15.75" customHeight="1">
      <c r="A101" s="71"/>
      <c r="B101" s="71"/>
      <c r="C101" s="71"/>
    </row>
    <row r="102" ht="15.75" customHeight="1">
      <c r="A102" s="71"/>
      <c r="B102" s="71"/>
      <c r="C102" s="71"/>
    </row>
    <row r="103" ht="15.75" customHeight="1">
      <c r="A103" s="71"/>
      <c r="B103" s="71"/>
      <c r="C103" s="71"/>
    </row>
    <row r="104" ht="15.75" customHeight="1">
      <c r="A104" s="71"/>
      <c r="B104" s="71"/>
      <c r="C104" s="71"/>
    </row>
    <row r="105" ht="15.75" customHeight="1">
      <c r="A105" s="71"/>
      <c r="B105" s="71"/>
      <c r="C105" s="71"/>
    </row>
    <row r="106" ht="15.75" customHeight="1">
      <c r="A106" s="71"/>
      <c r="B106" s="71"/>
      <c r="C106" s="71"/>
    </row>
    <row r="107" ht="15.75" customHeight="1">
      <c r="A107" s="71"/>
      <c r="B107" s="71"/>
      <c r="C107" s="71"/>
    </row>
    <row r="108" ht="15.75" customHeight="1">
      <c r="A108" s="71"/>
      <c r="B108" s="71"/>
      <c r="C108" s="71"/>
    </row>
    <row r="109" ht="15.75" customHeight="1">
      <c r="A109" s="71"/>
      <c r="B109" s="71"/>
      <c r="C109" s="71"/>
    </row>
    <row r="110" ht="15.75" customHeight="1">
      <c r="A110" s="71"/>
      <c r="B110" s="71"/>
      <c r="C110" s="71"/>
    </row>
    <row r="111" ht="15.75" customHeight="1">
      <c r="A111" s="71"/>
      <c r="B111" s="71"/>
      <c r="C111" s="71"/>
    </row>
    <row r="112" ht="15.75" customHeight="1">
      <c r="A112" s="71"/>
      <c r="B112" s="71"/>
      <c r="C112" s="71"/>
    </row>
    <row r="113" ht="15.75" customHeight="1">
      <c r="A113" s="71"/>
      <c r="B113" s="71"/>
      <c r="C113" s="71"/>
    </row>
    <row r="114" ht="15.75" customHeight="1">
      <c r="A114" s="71"/>
      <c r="B114" s="71"/>
      <c r="C114" s="71"/>
    </row>
    <row r="115" ht="15.75" customHeight="1">
      <c r="A115" s="71"/>
      <c r="B115" s="71"/>
      <c r="C115" s="71"/>
    </row>
    <row r="116" ht="15.75" customHeight="1">
      <c r="A116" s="71"/>
      <c r="B116" s="71"/>
      <c r="C116" s="71"/>
    </row>
    <row r="117" ht="15.75" customHeight="1">
      <c r="A117" s="71"/>
      <c r="B117" s="71"/>
      <c r="C117" s="71"/>
    </row>
    <row r="118" ht="15.75" customHeight="1">
      <c r="A118" s="71"/>
      <c r="B118" s="71"/>
      <c r="C118" s="71"/>
    </row>
    <row r="119" ht="15.75" customHeight="1">
      <c r="A119" s="71"/>
      <c r="B119" s="71"/>
      <c r="C119" s="71"/>
    </row>
    <row r="120" ht="15.75" customHeight="1">
      <c r="A120" s="71"/>
      <c r="B120" s="71"/>
      <c r="C120" s="71"/>
    </row>
    <row r="121" ht="15.75" customHeight="1">
      <c r="A121" s="71"/>
      <c r="B121" s="71"/>
      <c r="C121" s="71"/>
    </row>
    <row r="122" ht="15.75" customHeight="1">
      <c r="A122" s="71"/>
      <c r="B122" s="71"/>
      <c r="C122" s="71"/>
    </row>
    <row r="123" ht="15.75" customHeight="1">
      <c r="A123" s="71"/>
      <c r="B123" s="71"/>
      <c r="C123" s="71"/>
    </row>
    <row r="124" ht="15.75" customHeight="1">
      <c r="A124" s="71"/>
      <c r="B124" s="71"/>
      <c r="C124" s="71"/>
    </row>
    <row r="125" ht="15.75" customHeight="1">
      <c r="A125" s="71"/>
      <c r="B125" s="71"/>
      <c r="C125" s="71"/>
    </row>
    <row r="126" ht="15.75" customHeight="1">
      <c r="A126" s="71"/>
      <c r="B126" s="71"/>
      <c r="C126" s="71"/>
    </row>
    <row r="127" ht="15.75" customHeight="1">
      <c r="A127" s="71"/>
      <c r="B127" s="71"/>
      <c r="C127" s="71"/>
    </row>
    <row r="128" ht="15.75" customHeight="1">
      <c r="A128" s="71"/>
      <c r="B128" s="71"/>
      <c r="C128" s="71"/>
    </row>
    <row r="129" ht="15.75" customHeight="1">
      <c r="A129" s="71"/>
      <c r="B129" s="71"/>
      <c r="C129" s="71"/>
    </row>
    <row r="130" ht="15.75" customHeight="1">
      <c r="A130" s="71"/>
      <c r="B130" s="71"/>
      <c r="C130" s="71"/>
    </row>
    <row r="131" ht="15.75" customHeight="1">
      <c r="A131" s="71"/>
      <c r="B131" s="71"/>
      <c r="C131" s="71"/>
    </row>
    <row r="132" ht="15.75" customHeight="1">
      <c r="A132" s="71"/>
      <c r="B132" s="71"/>
      <c r="C132" s="71"/>
    </row>
    <row r="133" ht="15.75" customHeight="1">
      <c r="A133" s="71"/>
      <c r="B133" s="71"/>
      <c r="C133" s="71"/>
    </row>
    <row r="134" ht="15.75" customHeight="1">
      <c r="A134" s="71"/>
      <c r="B134" s="71"/>
      <c r="C134" s="71"/>
    </row>
    <row r="135" ht="15.75" customHeight="1">
      <c r="A135" s="71"/>
      <c r="B135" s="71"/>
      <c r="C135" s="71"/>
    </row>
    <row r="136" ht="15.75" customHeight="1">
      <c r="A136" s="71"/>
      <c r="B136" s="71"/>
      <c r="C136" s="71"/>
    </row>
    <row r="137" ht="15.75" customHeight="1">
      <c r="A137" s="71"/>
      <c r="B137" s="71"/>
      <c r="C137" s="71"/>
    </row>
    <row r="138" ht="15.75" customHeight="1">
      <c r="A138" s="71"/>
      <c r="B138" s="71"/>
      <c r="C138" s="71"/>
    </row>
    <row r="139" ht="15.75" customHeight="1">
      <c r="A139" s="71"/>
      <c r="B139" s="71"/>
      <c r="C139" s="71"/>
    </row>
    <row r="140" ht="15.75" customHeight="1">
      <c r="A140" s="71"/>
      <c r="B140" s="71"/>
      <c r="C140" s="71"/>
    </row>
    <row r="141" ht="15.75" customHeight="1">
      <c r="A141" s="71"/>
      <c r="B141" s="71"/>
      <c r="C141" s="71"/>
    </row>
    <row r="142" ht="15.75" customHeight="1">
      <c r="A142" s="71"/>
      <c r="B142" s="71"/>
      <c r="C142" s="71"/>
    </row>
    <row r="143" ht="15.75" customHeight="1">
      <c r="A143" s="71"/>
      <c r="B143" s="71"/>
      <c r="C143" s="71"/>
    </row>
    <row r="144" ht="15.75" customHeight="1">
      <c r="A144" s="71"/>
      <c r="B144" s="71"/>
      <c r="C144" s="71"/>
    </row>
    <row r="145" ht="15.75" customHeight="1">
      <c r="A145" s="71"/>
      <c r="B145" s="71"/>
      <c r="C145" s="71"/>
    </row>
    <row r="146" ht="15.75" customHeight="1">
      <c r="A146" s="71"/>
      <c r="B146" s="71"/>
      <c r="C146" s="71"/>
    </row>
    <row r="147" ht="15.75" customHeight="1">
      <c r="A147" s="71"/>
      <c r="B147" s="71"/>
      <c r="C147" s="71"/>
    </row>
    <row r="148" ht="15.75" customHeight="1">
      <c r="A148" s="71"/>
      <c r="B148" s="71"/>
      <c r="C148" s="71"/>
    </row>
    <row r="149" ht="15.75" customHeight="1">
      <c r="A149" s="71"/>
      <c r="B149" s="71"/>
      <c r="C149" s="71"/>
    </row>
    <row r="150" ht="15.75" customHeight="1">
      <c r="A150" s="71"/>
      <c r="B150" s="71"/>
      <c r="C150" s="71"/>
    </row>
    <row r="151" ht="15.75" customHeight="1">
      <c r="A151" s="71"/>
      <c r="B151" s="71"/>
      <c r="C151" s="71"/>
    </row>
    <row r="152" ht="15.75" customHeight="1">
      <c r="A152" s="71"/>
      <c r="B152" s="71"/>
      <c r="C152" s="71"/>
    </row>
    <row r="153" ht="15.75" customHeight="1">
      <c r="A153" s="71"/>
      <c r="B153" s="71"/>
      <c r="C153" s="71"/>
    </row>
    <row r="154" ht="15.75" customHeight="1">
      <c r="A154" s="71"/>
      <c r="B154" s="71"/>
      <c r="C154" s="71"/>
    </row>
    <row r="155" ht="15.75" customHeight="1">
      <c r="A155" s="71"/>
      <c r="B155" s="71"/>
      <c r="C155" s="71"/>
    </row>
    <row r="156" ht="15.75" customHeight="1">
      <c r="A156" s="71"/>
      <c r="B156" s="71"/>
      <c r="C156" s="71"/>
    </row>
    <row r="157" ht="15.75" customHeight="1">
      <c r="A157" s="71"/>
      <c r="B157" s="71"/>
      <c r="C157" s="71"/>
    </row>
    <row r="158" ht="15.75" customHeight="1">
      <c r="A158" s="71"/>
      <c r="B158" s="71"/>
      <c r="C158" s="71"/>
    </row>
    <row r="159" ht="15.75" customHeight="1">
      <c r="A159" s="71"/>
      <c r="B159" s="71"/>
      <c r="C159" s="71"/>
    </row>
    <row r="160" ht="15.75" customHeight="1">
      <c r="A160" s="71"/>
      <c r="B160" s="71"/>
      <c r="C160" s="71"/>
    </row>
    <row r="161" ht="15.75" customHeight="1">
      <c r="A161" s="71"/>
      <c r="B161" s="71"/>
      <c r="C161" s="71"/>
    </row>
    <row r="162" ht="15.75" customHeight="1">
      <c r="A162" s="71"/>
      <c r="B162" s="71"/>
      <c r="C162" s="71"/>
    </row>
    <row r="163" ht="15.75" customHeight="1">
      <c r="A163" s="71"/>
      <c r="B163" s="71"/>
      <c r="C163" s="71"/>
    </row>
    <row r="164" ht="15.75" customHeight="1">
      <c r="A164" s="71"/>
      <c r="B164" s="71"/>
      <c r="C164" s="71"/>
    </row>
    <row r="165" ht="15.75" customHeight="1">
      <c r="A165" s="71"/>
      <c r="B165" s="71"/>
      <c r="C165" s="71"/>
    </row>
    <row r="166" ht="15.75" customHeight="1">
      <c r="A166" s="71"/>
      <c r="B166" s="71"/>
      <c r="C166" s="71"/>
    </row>
    <row r="167" ht="15.75" customHeight="1">
      <c r="A167" s="71"/>
      <c r="B167" s="71"/>
      <c r="C167" s="71"/>
    </row>
    <row r="168" ht="15.75" customHeight="1">
      <c r="A168" s="71"/>
      <c r="B168" s="71"/>
      <c r="C168" s="71"/>
    </row>
    <row r="169" ht="15.75" customHeight="1">
      <c r="A169" s="71"/>
      <c r="B169" s="71"/>
      <c r="C169" s="71"/>
    </row>
    <row r="170" ht="15.75" customHeight="1">
      <c r="A170" s="71"/>
      <c r="B170" s="71"/>
      <c r="C170" s="71"/>
    </row>
    <row r="171" ht="15.75" customHeight="1">
      <c r="A171" s="71"/>
      <c r="B171" s="71"/>
      <c r="C171" s="71"/>
    </row>
    <row r="172" ht="15.75" customHeight="1">
      <c r="A172" s="71"/>
      <c r="B172" s="71"/>
      <c r="C172" s="71"/>
    </row>
    <row r="173" ht="15.75" customHeight="1">
      <c r="A173" s="71"/>
      <c r="B173" s="71"/>
      <c r="C173" s="71"/>
    </row>
    <row r="174" ht="15.75" customHeight="1">
      <c r="A174" s="71"/>
      <c r="B174" s="71"/>
      <c r="C174" s="71"/>
    </row>
    <row r="175" ht="15.75" customHeight="1">
      <c r="A175" s="71"/>
      <c r="B175" s="71"/>
      <c r="C175" s="71"/>
    </row>
    <row r="176" ht="15.75" customHeight="1">
      <c r="A176" s="71"/>
      <c r="B176" s="71"/>
      <c r="C176" s="71"/>
    </row>
    <row r="177" ht="15.75" customHeight="1">
      <c r="A177" s="71"/>
      <c r="B177" s="71"/>
      <c r="C177" s="71"/>
    </row>
    <row r="178" ht="15.75" customHeight="1">
      <c r="A178" s="71"/>
      <c r="B178" s="71"/>
      <c r="C178" s="71"/>
    </row>
    <row r="179" ht="15.75" customHeight="1">
      <c r="A179" s="71"/>
      <c r="B179" s="71"/>
      <c r="C179" s="71"/>
    </row>
    <row r="180" ht="15.75" customHeight="1">
      <c r="A180" s="71"/>
      <c r="B180" s="71"/>
      <c r="C180" s="71"/>
    </row>
    <row r="181" ht="15.75" customHeight="1">
      <c r="A181" s="71"/>
      <c r="B181" s="71"/>
      <c r="C181" s="71"/>
    </row>
    <row r="182" ht="15.75" customHeight="1">
      <c r="A182" s="71"/>
      <c r="B182" s="71"/>
      <c r="C182" s="71"/>
    </row>
    <row r="183" ht="15.75" customHeight="1">
      <c r="A183" s="71"/>
      <c r="B183" s="71"/>
      <c r="C183" s="71"/>
    </row>
    <row r="184" ht="15.75" customHeight="1">
      <c r="A184" s="71"/>
      <c r="B184" s="71"/>
      <c r="C184" s="71"/>
    </row>
    <row r="185" ht="15.75" customHeight="1">
      <c r="A185" s="71"/>
      <c r="B185" s="71"/>
      <c r="C185" s="71"/>
    </row>
    <row r="186" ht="15.75" customHeight="1">
      <c r="A186" s="71"/>
      <c r="B186" s="71"/>
      <c r="C186" s="71"/>
    </row>
    <row r="187" ht="15.75" customHeight="1">
      <c r="A187" s="71"/>
      <c r="B187" s="71"/>
      <c r="C187" s="71"/>
    </row>
    <row r="188" ht="15.75" customHeight="1">
      <c r="A188" s="71"/>
      <c r="B188" s="71"/>
      <c r="C188" s="71"/>
    </row>
    <row r="189" ht="15.75" customHeight="1">
      <c r="A189" s="71"/>
      <c r="B189" s="71"/>
      <c r="C189" s="71"/>
    </row>
    <row r="190" ht="15.75" customHeight="1">
      <c r="A190" s="71"/>
      <c r="B190" s="71"/>
      <c r="C190" s="71"/>
    </row>
    <row r="191" ht="15.75" customHeight="1">
      <c r="A191" s="71"/>
      <c r="B191" s="71"/>
      <c r="C191" s="71"/>
    </row>
    <row r="192" ht="15.75" customHeight="1">
      <c r="A192" s="71"/>
      <c r="B192" s="71"/>
      <c r="C192" s="71"/>
    </row>
    <row r="193" ht="15.75" customHeight="1">
      <c r="A193" s="71"/>
      <c r="B193" s="71"/>
      <c r="C193" s="71"/>
    </row>
    <row r="194" ht="15.75" customHeight="1">
      <c r="A194" s="71"/>
      <c r="B194" s="71"/>
      <c r="C194" s="71"/>
    </row>
    <row r="195" ht="15.75" customHeight="1">
      <c r="A195" s="71"/>
      <c r="B195" s="71"/>
      <c r="C195" s="71"/>
    </row>
    <row r="196" ht="15.75" customHeight="1">
      <c r="A196" s="71"/>
      <c r="B196" s="71"/>
      <c r="C196" s="71"/>
    </row>
    <row r="197" ht="15.75" customHeight="1">
      <c r="A197" s="71"/>
      <c r="B197" s="71"/>
      <c r="C197" s="71"/>
    </row>
    <row r="198" ht="15.75" customHeight="1">
      <c r="A198" s="71"/>
      <c r="B198" s="71"/>
      <c r="C198" s="71"/>
    </row>
    <row r="199" ht="15.75" customHeight="1">
      <c r="A199" s="71"/>
      <c r="B199" s="71"/>
      <c r="C199" s="71"/>
    </row>
    <row r="200" ht="15.75" customHeight="1">
      <c r="A200" s="71"/>
      <c r="B200" s="71"/>
      <c r="C200" s="71"/>
    </row>
    <row r="201" ht="15.75" customHeight="1">
      <c r="A201" s="71"/>
      <c r="B201" s="71"/>
      <c r="C201" s="71"/>
    </row>
    <row r="202" ht="15.75" customHeight="1">
      <c r="A202" s="71"/>
      <c r="B202" s="71"/>
      <c r="C202" s="71"/>
    </row>
    <row r="203" ht="15.75" customHeight="1">
      <c r="A203" s="71"/>
      <c r="B203" s="71"/>
      <c r="C203" s="71"/>
    </row>
    <row r="204" ht="15.75" customHeight="1">
      <c r="A204" s="71"/>
      <c r="B204" s="71"/>
      <c r="C204" s="71"/>
    </row>
    <row r="205" ht="15.75" customHeight="1">
      <c r="A205" s="71"/>
      <c r="B205" s="71"/>
      <c r="C205" s="71"/>
    </row>
    <row r="206" ht="15.75" customHeight="1">
      <c r="A206" s="71"/>
      <c r="B206" s="71"/>
      <c r="C206" s="71"/>
    </row>
    <row r="207" ht="15.75" customHeight="1">
      <c r="A207" s="71"/>
      <c r="B207" s="71"/>
      <c r="C207" s="71"/>
    </row>
    <row r="208" ht="15.75" customHeight="1">
      <c r="A208" s="71"/>
      <c r="B208" s="71"/>
      <c r="C208" s="71"/>
    </row>
    <row r="209" ht="15.75" customHeight="1">
      <c r="A209" s="71"/>
      <c r="B209" s="71"/>
      <c r="C209" s="71"/>
    </row>
    <row r="210" ht="15.75" customHeight="1">
      <c r="A210" s="71"/>
      <c r="B210" s="71"/>
      <c r="C210" s="71"/>
    </row>
    <row r="211" ht="15.75" customHeight="1">
      <c r="A211" s="71"/>
      <c r="B211" s="71"/>
      <c r="C211" s="71"/>
    </row>
    <row r="212" ht="15.75" customHeight="1">
      <c r="A212" s="71"/>
      <c r="B212" s="71"/>
      <c r="C212" s="71"/>
    </row>
    <row r="213" ht="15.75" customHeight="1">
      <c r="A213" s="71"/>
      <c r="B213" s="71"/>
      <c r="C213" s="71"/>
    </row>
    <row r="214" ht="15.75" customHeight="1">
      <c r="A214" s="71"/>
      <c r="B214" s="71"/>
      <c r="C214" s="71"/>
    </row>
    <row r="215" ht="15.75" customHeight="1">
      <c r="A215" s="71"/>
      <c r="B215" s="71"/>
      <c r="C215" s="71"/>
    </row>
    <row r="216" ht="15.75" customHeight="1">
      <c r="A216" s="71"/>
      <c r="B216" s="71"/>
      <c r="C216" s="71"/>
    </row>
    <row r="217" ht="15.75" customHeight="1">
      <c r="A217" s="71"/>
      <c r="B217" s="71"/>
      <c r="C217" s="71"/>
    </row>
    <row r="218" ht="15.75" customHeight="1">
      <c r="A218" s="71"/>
      <c r="B218" s="71"/>
      <c r="C218" s="71"/>
    </row>
    <row r="219" ht="15.75" customHeight="1">
      <c r="A219" s="71"/>
      <c r="B219" s="71"/>
      <c r="C219" s="71"/>
    </row>
    <row r="220" ht="15.75" customHeight="1">
      <c r="A220" s="71"/>
      <c r="B220" s="71"/>
      <c r="C220" s="7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0.5"/>
    <col customWidth="1" min="3" max="3" width="42.5"/>
  </cols>
  <sheetData>
    <row r="1">
      <c r="A1" s="4"/>
      <c r="B1" s="11" t="s">
        <v>140</v>
      </c>
      <c r="D1" s="4"/>
      <c r="E1" s="4"/>
      <c r="F1" s="4"/>
      <c r="G1" s="4"/>
      <c r="H1" s="4"/>
      <c r="I1" s="4"/>
      <c r="J1" s="4"/>
      <c r="K1" s="4"/>
      <c r="L1" s="4"/>
      <c r="M1" s="4"/>
      <c r="N1" s="4"/>
      <c r="O1" s="4"/>
      <c r="P1" s="4"/>
      <c r="Q1" s="4"/>
      <c r="R1" s="4"/>
      <c r="S1" s="4"/>
      <c r="T1" s="4"/>
      <c r="U1" s="4"/>
      <c r="V1" s="4"/>
      <c r="W1" s="4"/>
      <c r="X1" s="4"/>
      <c r="Y1" s="4"/>
      <c r="Z1" s="4"/>
      <c r="AA1" s="4"/>
    </row>
    <row r="2">
      <c r="A2" s="4"/>
      <c r="B2" s="4"/>
      <c r="C2" s="4"/>
      <c r="D2" s="4"/>
      <c r="E2" s="4"/>
      <c r="F2" s="4"/>
      <c r="G2" s="4"/>
      <c r="H2" s="4"/>
      <c r="I2" s="4"/>
      <c r="J2" s="4"/>
      <c r="K2" s="4"/>
      <c r="L2" s="4"/>
      <c r="M2" s="4"/>
      <c r="N2" s="4"/>
      <c r="O2" s="4"/>
      <c r="P2" s="4"/>
      <c r="Q2" s="4"/>
      <c r="R2" s="4"/>
      <c r="S2" s="4"/>
      <c r="T2" s="4"/>
      <c r="U2" s="4"/>
      <c r="V2" s="4"/>
      <c r="W2" s="4"/>
      <c r="X2" s="4"/>
      <c r="Y2" s="4"/>
      <c r="Z2" s="4"/>
      <c r="AA2" s="4"/>
    </row>
    <row r="3">
      <c r="A3" s="4"/>
      <c r="B3" s="72" t="str">
        <f>Scorecard!A8</f>
        <v>I. Climate / Nature &amp; Biodiversity</v>
      </c>
      <c r="C3" s="73" t="str">
        <f>Scorecard!B9</f>
        <v>Thesis &amp; Strategy: Climate/Nature &amp; Biodiversity </v>
      </c>
      <c r="D3" s="4"/>
      <c r="E3" s="4"/>
      <c r="F3" s="4"/>
      <c r="G3" s="4"/>
      <c r="H3" s="4"/>
      <c r="I3" s="4"/>
      <c r="J3" s="4"/>
      <c r="K3" s="4"/>
      <c r="L3" s="4"/>
      <c r="M3" s="4"/>
      <c r="N3" s="4"/>
      <c r="O3" s="4"/>
      <c r="P3" s="4"/>
      <c r="Q3" s="4"/>
      <c r="R3" s="4"/>
      <c r="S3" s="4"/>
      <c r="T3" s="4"/>
      <c r="U3" s="4"/>
      <c r="V3" s="4"/>
      <c r="W3" s="4"/>
      <c r="X3" s="4"/>
      <c r="Y3" s="4"/>
      <c r="Z3" s="4"/>
      <c r="AA3" s="4"/>
    </row>
    <row r="4">
      <c r="A4" s="4"/>
      <c r="B4" s="74"/>
      <c r="C4" s="73" t="str">
        <f>Scorecard!B10</f>
        <v>Thesis &amp; Strategy: Near-Term, Material Solutions; Replicable Solutions; Climate Vulnerable and/or Place-Based</v>
      </c>
      <c r="D4" s="4"/>
      <c r="E4" s="4"/>
      <c r="F4" s="4"/>
      <c r="G4" s="4"/>
      <c r="H4" s="4"/>
      <c r="I4" s="4"/>
      <c r="J4" s="4"/>
      <c r="K4" s="4"/>
      <c r="L4" s="4"/>
      <c r="M4" s="4"/>
      <c r="N4" s="4"/>
      <c r="O4" s="4"/>
      <c r="P4" s="4"/>
      <c r="Q4" s="4"/>
      <c r="R4" s="4"/>
      <c r="S4" s="4"/>
      <c r="T4" s="4"/>
      <c r="U4" s="4"/>
      <c r="V4" s="4"/>
      <c r="W4" s="4"/>
      <c r="X4" s="4"/>
      <c r="Y4" s="4"/>
      <c r="Z4" s="4"/>
      <c r="AA4" s="4"/>
    </row>
    <row r="5">
      <c r="A5" s="4"/>
      <c r="B5" s="74"/>
      <c r="C5" s="73" t="str">
        <f>Scorecard!B11</f>
        <v>Climate Taxonomy &amp; Impact Measurement, Management &amp; Monitoring</v>
      </c>
      <c r="D5" s="4"/>
      <c r="E5" s="4"/>
      <c r="F5" s="4"/>
      <c r="G5" s="4"/>
      <c r="H5" s="4"/>
      <c r="I5" s="4"/>
      <c r="J5" s="4"/>
      <c r="K5" s="4"/>
      <c r="L5" s="4"/>
      <c r="M5" s="4"/>
      <c r="N5" s="4"/>
      <c r="O5" s="4"/>
      <c r="P5" s="4"/>
      <c r="Q5" s="4"/>
      <c r="R5" s="4"/>
      <c r="S5" s="4"/>
      <c r="T5" s="4"/>
      <c r="U5" s="4"/>
      <c r="V5" s="4"/>
      <c r="W5" s="4"/>
      <c r="X5" s="4"/>
      <c r="Y5" s="4"/>
      <c r="Z5" s="4"/>
      <c r="AA5" s="4"/>
    </row>
    <row r="6">
      <c r="A6" s="4"/>
      <c r="B6" s="75"/>
      <c r="C6" s="73" t="str">
        <f>Scorecard!B12</f>
        <v>Just Transition</v>
      </c>
      <c r="D6" s="4"/>
      <c r="E6" s="4"/>
      <c r="F6" s="4"/>
      <c r="G6" s="4"/>
      <c r="H6" s="4"/>
      <c r="I6" s="4"/>
      <c r="J6" s="4"/>
      <c r="K6" s="4"/>
      <c r="L6" s="4"/>
      <c r="M6" s="4"/>
      <c r="N6" s="4"/>
      <c r="O6" s="4"/>
      <c r="P6" s="4"/>
      <c r="Q6" s="4"/>
      <c r="R6" s="4"/>
      <c r="S6" s="4"/>
      <c r="T6" s="4"/>
      <c r="U6" s="4"/>
      <c r="V6" s="4"/>
      <c r="W6" s="4"/>
      <c r="X6" s="4"/>
      <c r="Y6" s="4"/>
      <c r="Z6" s="4"/>
      <c r="AA6" s="4"/>
    </row>
    <row r="7">
      <c r="A7" s="4"/>
      <c r="B7" s="4"/>
      <c r="C7" s="4"/>
      <c r="D7" s="4"/>
      <c r="E7" s="4"/>
      <c r="F7" s="4"/>
      <c r="G7" s="4"/>
      <c r="H7" s="4"/>
      <c r="I7" s="4"/>
      <c r="J7" s="4"/>
      <c r="K7" s="4"/>
      <c r="L7" s="4"/>
      <c r="M7" s="4"/>
      <c r="N7" s="4"/>
      <c r="O7" s="4"/>
      <c r="P7" s="4"/>
      <c r="Q7" s="4"/>
      <c r="R7" s="4"/>
      <c r="S7" s="4"/>
      <c r="T7" s="4"/>
      <c r="U7" s="4"/>
      <c r="V7" s="4"/>
      <c r="W7" s="4"/>
      <c r="X7" s="4"/>
      <c r="Y7" s="4"/>
      <c r="Z7" s="4"/>
      <c r="AA7" s="4"/>
    </row>
    <row r="8">
      <c r="A8" s="4"/>
      <c r="B8" s="76" t="str">
        <f>Scorecard!A16</f>
        <v>II. Breadth &amp; Depth of Gender </v>
      </c>
      <c r="C8" s="77" t="str">
        <f>Scorecard!B17</f>
        <v>Gender Lens</v>
      </c>
      <c r="D8" s="4"/>
      <c r="E8" s="4"/>
      <c r="F8" s="4"/>
      <c r="G8" s="4"/>
      <c r="H8" s="4"/>
      <c r="I8" s="4"/>
      <c r="J8" s="4"/>
      <c r="K8" s="4"/>
      <c r="L8" s="4"/>
      <c r="M8" s="4"/>
      <c r="N8" s="4"/>
      <c r="O8" s="4"/>
      <c r="P8" s="4"/>
      <c r="Q8" s="4"/>
      <c r="R8" s="4"/>
      <c r="S8" s="4"/>
      <c r="T8" s="4"/>
      <c r="U8" s="4"/>
      <c r="V8" s="4"/>
      <c r="W8" s="4"/>
      <c r="X8" s="4"/>
      <c r="Y8" s="4"/>
      <c r="Z8" s="4"/>
      <c r="AA8" s="4"/>
    </row>
    <row r="9">
      <c r="A9" s="4"/>
      <c r="B9" s="74"/>
      <c r="C9" s="77" t="str">
        <f>Scorecard!B18</f>
        <v>Women's Ownership &amp; Leadership</v>
      </c>
      <c r="D9" s="4"/>
      <c r="E9" s="4"/>
      <c r="F9" s="4"/>
      <c r="G9" s="4"/>
      <c r="H9" s="4"/>
      <c r="I9" s="4"/>
      <c r="J9" s="4"/>
      <c r="K9" s="4"/>
      <c r="L9" s="4"/>
      <c r="M9" s="4"/>
      <c r="N9" s="4"/>
      <c r="O9" s="4"/>
      <c r="P9" s="4"/>
      <c r="Q9" s="4"/>
      <c r="R9" s="4"/>
      <c r="S9" s="4"/>
      <c r="T9" s="4"/>
      <c r="U9" s="4"/>
      <c r="V9" s="4"/>
      <c r="W9" s="4"/>
      <c r="X9" s="4"/>
      <c r="Y9" s="4"/>
      <c r="Z9" s="4"/>
      <c r="AA9" s="4"/>
    </row>
    <row r="10">
      <c r="A10" s="4"/>
      <c r="B10" s="74"/>
      <c r="C10" s="77" t="str">
        <f>Scorecard!B19</f>
        <v>Gender &amp; Inclusion Principles &amp; Impact Measurement, Management &amp; Monitoring</v>
      </c>
      <c r="D10" s="4"/>
      <c r="E10" s="4"/>
      <c r="F10" s="4"/>
      <c r="G10" s="4"/>
      <c r="H10" s="4"/>
      <c r="I10" s="4"/>
      <c r="J10" s="4"/>
      <c r="K10" s="4"/>
      <c r="L10" s="4"/>
      <c r="M10" s="4"/>
      <c r="N10" s="4"/>
      <c r="O10" s="4"/>
      <c r="P10" s="4"/>
      <c r="Q10" s="4"/>
      <c r="R10" s="4"/>
      <c r="S10" s="4"/>
      <c r="T10" s="4"/>
      <c r="U10" s="4"/>
      <c r="V10" s="4"/>
      <c r="W10" s="4"/>
      <c r="X10" s="4"/>
      <c r="Y10" s="4"/>
      <c r="Z10" s="4"/>
      <c r="AA10" s="4"/>
    </row>
    <row r="11">
      <c r="A11" s="4"/>
      <c r="B11" s="75"/>
      <c r="C11" s="77" t="str">
        <f>Scorecard!B20</f>
        <v>Justice, Equity, Diversity &amp; Inclusion</v>
      </c>
      <c r="D11" s="4"/>
      <c r="E11" s="78"/>
      <c r="F11" s="4"/>
      <c r="G11" s="4"/>
      <c r="H11" s="4"/>
      <c r="I11" s="4"/>
      <c r="J11" s="4"/>
      <c r="K11" s="4"/>
      <c r="L11" s="4"/>
      <c r="M11" s="4"/>
      <c r="N11" s="4"/>
      <c r="O11" s="4"/>
      <c r="P11" s="4"/>
      <c r="Q11" s="4"/>
      <c r="R11" s="4"/>
      <c r="S11" s="4"/>
      <c r="T11" s="4"/>
      <c r="U11" s="4"/>
      <c r="V11" s="4"/>
      <c r="W11" s="4"/>
      <c r="X11" s="4"/>
      <c r="Y11" s="4"/>
      <c r="Z11" s="4"/>
      <c r="AA11" s="4"/>
    </row>
    <row r="12">
      <c r="A12" s="4"/>
      <c r="B12" s="4"/>
      <c r="C12" s="79"/>
      <c r="D12" s="4"/>
      <c r="E12" s="4"/>
      <c r="F12" s="4"/>
      <c r="G12" s="4"/>
      <c r="H12" s="4"/>
      <c r="I12" s="4"/>
      <c r="J12" s="4"/>
      <c r="K12" s="4"/>
      <c r="L12" s="4"/>
      <c r="M12" s="4"/>
      <c r="N12" s="4"/>
      <c r="O12" s="4"/>
      <c r="P12" s="4"/>
      <c r="Q12" s="4"/>
      <c r="R12" s="4"/>
      <c r="S12" s="4"/>
      <c r="T12" s="4"/>
      <c r="U12" s="4"/>
      <c r="V12" s="4"/>
      <c r="W12" s="4"/>
      <c r="X12" s="4"/>
      <c r="Y12" s="4"/>
      <c r="Z12" s="4"/>
      <c r="AA12" s="4"/>
    </row>
    <row r="13">
      <c r="A13" s="4"/>
      <c r="B13" s="80" t="str">
        <f>Scorecard!A24</f>
        <v>III. Climate &amp; Gender Integration</v>
      </c>
      <c r="C13" s="81" t="str">
        <f>Scorecard!B25</f>
        <v>Women as Agents of Change in Investment Thesis</v>
      </c>
      <c r="D13" s="4"/>
      <c r="E13" s="4"/>
      <c r="F13" s="4"/>
      <c r="G13" s="4"/>
      <c r="H13" s="4"/>
      <c r="I13" s="4"/>
      <c r="J13" s="4"/>
      <c r="K13" s="4"/>
      <c r="L13" s="4"/>
      <c r="M13" s="4"/>
      <c r="N13" s="4"/>
      <c r="O13" s="4"/>
      <c r="P13" s="4"/>
      <c r="Q13" s="4"/>
      <c r="R13" s="4"/>
      <c r="S13" s="4"/>
      <c r="T13" s="4"/>
      <c r="U13" s="4"/>
      <c r="V13" s="4"/>
      <c r="W13" s="4"/>
      <c r="X13" s="4"/>
      <c r="Y13" s="4"/>
      <c r="Z13" s="4"/>
      <c r="AA13" s="4"/>
    </row>
    <row r="14">
      <c r="A14" s="4"/>
      <c r="B14" s="74"/>
      <c r="C14" s="81" t="str">
        <f>Scorecard!B26</f>
        <v>Women as Agents of Change in the Investment Process</v>
      </c>
      <c r="D14" s="4"/>
      <c r="E14" s="4"/>
      <c r="F14" s="4"/>
      <c r="G14" s="4"/>
      <c r="H14" s="4"/>
      <c r="I14" s="4"/>
      <c r="J14" s="4"/>
      <c r="K14" s="4"/>
      <c r="L14" s="4"/>
      <c r="M14" s="4"/>
      <c r="N14" s="4"/>
      <c r="O14" s="4"/>
      <c r="P14" s="4"/>
      <c r="Q14" s="4"/>
      <c r="R14" s="4"/>
      <c r="S14" s="4"/>
      <c r="T14" s="4"/>
      <c r="U14" s="4"/>
      <c r="V14" s="4"/>
      <c r="W14" s="4"/>
      <c r="X14" s="4"/>
      <c r="Y14" s="4"/>
      <c r="Z14" s="4"/>
      <c r="AA14" s="4"/>
    </row>
    <row r="15">
      <c r="A15" s="4"/>
      <c r="B15" s="74"/>
      <c r="C15" s="82" t="str">
        <f>Scorecard!B27</f>
        <v>Eliminating Barriers to Women's Active Participation as Change Agents</v>
      </c>
      <c r="D15" s="4"/>
      <c r="E15" s="4"/>
      <c r="F15" s="4"/>
      <c r="G15" s="4"/>
      <c r="H15" s="4"/>
      <c r="I15" s="4"/>
      <c r="J15" s="4"/>
      <c r="K15" s="4"/>
      <c r="L15" s="4"/>
      <c r="M15" s="4"/>
      <c r="N15" s="4"/>
      <c r="O15" s="4"/>
      <c r="P15" s="4"/>
      <c r="Q15" s="4"/>
      <c r="R15" s="4"/>
      <c r="S15" s="4"/>
      <c r="T15" s="4"/>
      <c r="U15" s="4"/>
      <c r="V15" s="4"/>
      <c r="W15" s="4"/>
      <c r="X15" s="4"/>
      <c r="Y15" s="4"/>
      <c r="Z15" s="4"/>
      <c r="AA15" s="4"/>
    </row>
    <row r="16">
      <c r="A16" s="4"/>
      <c r="B16" s="74"/>
      <c r="C16" s="82" t="str">
        <f>Scorecard!B28</f>
        <v>Transformational Change for Women </v>
      </c>
      <c r="D16" s="4"/>
      <c r="E16" s="4"/>
      <c r="F16" s="4"/>
      <c r="G16" s="4"/>
      <c r="H16" s="4"/>
      <c r="I16" s="4"/>
      <c r="J16" s="4"/>
      <c r="K16" s="4"/>
      <c r="L16" s="4"/>
      <c r="M16" s="4"/>
      <c r="N16" s="4"/>
      <c r="O16" s="4"/>
      <c r="P16" s="4"/>
      <c r="Q16" s="4"/>
      <c r="R16" s="4"/>
      <c r="S16" s="4"/>
      <c r="T16" s="4"/>
      <c r="U16" s="4"/>
      <c r="V16" s="4"/>
      <c r="W16" s="4"/>
      <c r="X16" s="4"/>
      <c r="Y16" s="4"/>
      <c r="Z16" s="4"/>
      <c r="AA16" s="4"/>
    </row>
    <row r="17">
      <c r="A17" s="4"/>
      <c r="B17" s="75"/>
      <c r="C17" s="82" t="str">
        <f>Scorecard!B29</f>
        <v>Scaling Products and Services by/for Women</v>
      </c>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83" t="str">
        <f>Scorecard!A33</f>
        <v>IV. Organization &amp; Team </v>
      </c>
      <c r="C19" s="84" t="str">
        <f>Scorecard!B34</f>
        <v>Track Record</v>
      </c>
      <c r="D19" s="4"/>
      <c r="E19" s="4"/>
      <c r="F19" s="4"/>
      <c r="G19" s="4"/>
      <c r="H19" s="4"/>
      <c r="I19" s="4"/>
      <c r="J19" s="4"/>
      <c r="K19" s="4"/>
      <c r="L19" s="4"/>
      <c r="M19" s="4"/>
      <c r="N19" s="4"/>
      <c r="O19" s="4"/>
      <c r="P19" s="4"/>
      <c r="Q19" s="4"/>
      <c r="R19" s="4"/>
      <c r="S19" s="4"/>
      <c r="T19" s="4"/>
      <c r="U19" s="4"/>
      <c r="V19" s="4"/>
      <c r="W19" s="4"/>
      <c r="X19" s="4"/>
      <c r="Y19" s="4"/>
      <c r="Z19" s="4"/>
      <c r="AA19" s="4"/>
    </row>
    <row r="20">
      <c r="A20" s="4"/>
      <c r="B20" s="74"/>
      <c r="C20" s="84" t="str">
        <f>Scorecard!B35</f>
        <v>Team History, Cohesion and Complementarity  &amp; Culture </v>
      </c>
      <c r="D20" s="4"/>
      <c r="E20" s="4"/>
      <c r="F20" s="4"/>
      <c r="G20" s="4"/>
      <c r="H20" s="4"/>
      <c r="I20" s="4"/>
      <c r="J20" s="4"/>
      <c r="K20" s="4"/>
      <c r="L20" s="4"/>
      <c r="M20" s="4"/>
      <c r="N20" s="4"/>
      <c r="O20" s="4"/>
      <c r="P20" s="4"/>
      <c r="Q20" s="4"/>
      <c r="R20" s="4"/>
      <c r="S20" s="4"/>
      <c r="T20" s="4"/>
      <c r="U20" s="4"/>
      <c r="V20" s="4"/>
      <c r="W20" s="4"/>
      <c r="X20" s="4"/>
      <c r="Y20" s="4"/>
      <c r="Z20" s="4"/>
      <c r="AA20" s="4"/>
    </row>
    <row r="21">
      <c r="A21" s="4"/>
      <c r="B21" s="74"/>
      <c r="C21" s="84" t="str">
        <f>Scorecard!B36</f>
        <v>Team Location &amp; Composition &amp; Diversity</v>
      </c>
      <c r="D21" s="4"/>
      <c r="E21" s="4"/>
      <c r="F21" s="4"/>
      <c r="G21" s="4"/>
      <c r="H21" s="4"/>
      <c r="I21" s="4"/>
      <c r="J21" s="4"/>
      <c r="K21" s="4"/>
      <c r="L21" s="4"/>
      <c r="M21" s="4"/>
      <c r="N21" s="4"/>
      <c r="O21" s="4"/>
      <c r="P21" s="4"/>
      <c r="Q21" s="4"/>
      <c r="R21" s="4"/>
      <c r="S21" s="4"/>
      <c r="T21" s="4"/>
      <c r="U21" s="4"/>
      <c r="V21" s="4"/>
      <c r="W21" s="4"/>
      <c r="X21" s="4"/>
      <c r="Y21" s="4"/>
      <c r="Z21" s="4"/>
      <c r="AA21" s="4"/>
    </row>
    <row r="22">
      <c r="A22" s="4"/>
      <c r="B22" s="75"/>
      <c r="C22" s="84" t="str">
        <f>Scorecard!B37</f>
        <v>Alignment of Interest</v>
      </c>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85" t="str">
        <f>Scorecard!A41</f>
        <v>V. Fundraising, Fund Terms, Structure &amp; Risk</v>
      </c>
      <c r="C24" s="86" t="str">
        <f>Scorecard!B42</f>
        <v>Fundraising Status </v>
      </c>
      <c r="D24" s="4"/>
      <c r="E24" s="4"/>
      <c r="F24" s="4"/>
      <c r="G24" s="4"/>
      <c r="H24" s="4"/>
      <c r="I24" s="4"/>
      <c r="J24" s="4"/>
      <c r="K24" s="4"/>
      <c r="L24" s="4"/>
      <c r="M24" s="4"/>
      <c r="N24" s="4"/>
      <c r="O24" s="4"/>
      <c r="P24" s="4"/>
      <c r="Q24" s="4"/>
      <c r="R24" s="4"/>
      <c r="S24" s="4"/>
      <c r="T24" s="4"/>
      <c r="U24" s="4"/>
      <c r="V24" s="4"/>
      <c r="W24" s="4"/>
      <c r="X24" s="4"/>
      <c r="Y24" s="4"/>
      <c r="Z24" s="4"/>
      <c r="AA24" s="4"/>
    </row>
    <row r="25">
      <c r="A25" s="4"/>
      <c r="B25" s="74"/>
      <c r="C25" s="86" t="str">
        <f>Scorecard!B43</f>
        <v>Anchor Investor</v>
      </c>
      <c r="D25" s="4"/>
      <c r="E25" s="4"/>
      <c r="F25" s="4"/>
      <c r="G25" s="4"/>
      <c r="H25" s="4"/>
      <c r="I25" s="4"/>
      <c r="J25" s="4"/>
      <c r="K25" s="4"/>
      <c r="L25" s="4"/>
      <c r="M25" s="4"/>
      <c r="N25" s="4"/>
      <c r="O25" s="4"/>
      <c r="P25" s="4"/>
      <c r="Q25" s="4"/>
      <c r="R25" s="4"/>
      <c r="S25" s="4"/>
      <c r="T25" s="4"/>
      <c r="U25" s="4"/>
      <c r="V25" s="4"/>
      <c r="W25" s="4"/>
      <c r="X25" s="4"/>
      <c r="Y25" s="4"/>
      <c r="Z25" s="4"/>
      <c r="AA25" s="4"/>
    </row>
    <row r="26">
      <c r="A26" s="4"/>
      <c r="B26" s="74"/>
      <c r="C26" s="86" t="str">
        <f>Scorecard!B44</f>
        <v>Fund Terms &amp; Structure</v>
      </c>
      <c r="D26" s="4"/>
      <c r="E26" s="4"/>
      <c r="F26" s="4"/>
      <c r="G26" s="4"/>
      <c r="H26" s="4"/>
      <c r="I26" s="4"/>
      <c r="J26" s="4"/>
      <c r="K26" s="4"/>
      <c r="L26" s="4"/>
      <c r="M26" s="4"/>
      <c r="N26" s="4"/>
      <c r="O26" s="4"/>
      <c r="P26" s="4"/>
      <c r="Q26" s="4"/>
      <c r="R26" s="4"/>
      <c r="S26" s="4"/>
      <c r="T26" s="4"/>
      <c r="U26" s="4"/>
      <c r="V26" s="4"/>
      <c r="W26" s="4"/>
      <c r="X26" s="4"/>
      <c r="Y26" s="4"/>
      <c r="Z26" s="4"/>
      <c r="AA26" s="4"/>
    </row>
    <row r="27">
      <c r="A27" s="4"/>
      <c r="B27" s="74"/>
      <c r="C27" s="87" t="str">
        <f>Scorecard!B45</f>
        <v>Financial Viability</v>
      </c>
      <c r="D27" s="4"/>
      <c r="E27" s="4"/>
      <c r="F27" s="4"/>
      <c r="G27" s="4"/>
      <c r="H27" s="4"/>
      <c r="I27" s="4"/>
      <c r="J27" s="4"/>
      <c r="K27" s="4"/>
      <c r="L27" s="4"/>
      <c r="M27" s="4"/>
      <c r="N27" s="4"/>
      <c r="O27" s="4"/>
      <c r="P27" s="4"/>
      <c r="Q27" s="4"/>
      <c r="R27" s="4"/>
      <c r="S27" s="4"/>
      <c r="T27" s="4"/>
      <c r="U27" s="4"/>
      <c r="V27" s="4"/>
      <c r="W27" s="4"/>
      <c r="X27" s="4"/>
      <c r="Y27" s="4"/>
      <c r="Z27" s="4"/>
      <c r="AA27" s="4"/>
    </row>
    <row r="28">
      <c r="A28" s="4"/>
      <c r="B28" s="75"/>
      <c r="C28" s="87" t="str">
        <f>Scorecard!B46</f>
        <v>Risk Assessment </v>
      </c>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sheetData>
  <mergeCells count="6">
    <mergeCell ref="B1:C1"/>
    <mergeCell ref="B3:B6"/>
    <mergeCell ref="B8:B11"/>
    <mergeCell ref="B13:B17"/>
    <mergeCell ref="B19:B22"/>
    <mergeCell ref="B24:B2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2025-03-19T16:23:39Z</dcterms:created>
  <dc:creator>Milena Bacalja</dc:creator>
</cp:coreProperties>
</file>